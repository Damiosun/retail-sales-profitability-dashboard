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Osunbanjo Damismart\Downloads\"/>
    </mc:Choice>
  </mc:AlternateContent>
  <bookViews>
    <workbookView xWindow="0" yWindow="0" windowWidth="16815" windowHeight="7650"/>
  </bookViews>
  <sheets>
    <sheet name="Business Questions" sheetId="4" r:id="rId1"/>
    <sheet name="Shoe Sales" sheetId="1" state="hidden" r:id="rId2"/>
    <sheet name="Shoe_Sales" sheetId="2" r:id="rId3"/>
    <sheet name="Price" sheetId="3" r:id="rId4"/>
    <sheet name="Pivot_Table" sheetId="8" r:id="rId5"/>
    <sheet name="Dashboard" sheetId="12" r:id="rId6"/>
  </sheets>
  <definedNames>
    <definedName name="KPI_Margin">Pivot_Table!$D$4</definedName>
    <definedName name="KPI_Profit">Pivot_Table!$C$4</definedName>
    <definedName name="KPI_Quantity">Pivot_Table!$E$4</definedName>
    <definedName name="KPI_Revenue">Pivot_Table!$B$4</definedName>
    <definedName name="ShoeSalesCopy">Table1[]</definedName>
    <definedName name="Slicer_Brand_Cleaned">#N/A</definedName>
    <definedName name="Slicer_Category_Cleaned">#N/A</definedName>
  </definedNames>
  <calcPr calcId="162913"/>
  <pivotCaches>
    <pivotCache cacheId="1" r:id="rId7"/>
  </pivotCaches>
  <fileRecoveryPr repairLoad="1"/>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502" i="2" l="1"/>
  <c r="Q501" i="2"/>
  <c r="P501" i="2"/>
  <c r="O501" i="2"/>
  <c r="N501" i="2"/>
  <c r="M501" i="2"/>
  <c r="D501" i="2"/>
  <c r="C501" i="2"/>
  <c r="B501" i="2"/>
  <c r="Q500" i="2"/>
  <c r="P500" i="2"/>
  <c r="O500" i="2"/>
  <c r="N500" i="2"/>
  <c r="M500" i="2"/>
  <c r="D500" i="2"/>
  <c r="C500" i="2"/>
  <c r="B500" i="2"/>
  <c r="Q499" i="2"/>
  <c r="P499" i="2"/>
  <c r="O499" i="2"/>
  <c r="N499" i="2"/>
  <c r="M499" i="2"/>
  <c r="D499" i="2"/>
  <c r="C499" i="2"/>
  <c r="B499" i="2"/>
  <c r="Q498" i="2"/>
  <c r="P498" i="2"/>
  <c r="O498" i="2"/>
  <c r="N498" i="2"/>
  <c r="M498" i="2"/>
  <c r="D498" i="2"/>
  <c r="C498" i="2"/>
  <c r="B498" i="2"/>
  <c r="Q497" i="2"/>
  <c r="P497" i="2"/>
  <c r="O497" i="2"/>
  <c r="N497" i="2"/>
  <c r="M497" i="2"/>
  <c r="D497" i="2"/>
  <c r="C497" i="2"/>
  <c r="B497" i="2"/>
  <c r="Q496" i="2"/>
  <c r="P496" i="2"/>
  <c r="O496" i="2"/>
  <c r="N496" i="2"/>
  <c r="M496" i="2"/>
  <c r="D496" i="2"/>
  <c r="C496" i="2"/>
  <c r="B496" i="2"/>
  <c r="Q495" i="2"/>
  <c r="P495" i="2"/>
  <c r="O495" i="2"/>
  <c r="N495" i="2"/>
  <c r="M495" i="2"/>
  <c r="D495" i="2"/>
  <c r="C495" i="2"/>
  <c r="B495" i="2"/>
  <c r="Q494" i="2"/>
  <c r="P494" i="2"/>
  <c r="O494" i="2"/>
  <c r="N494" i="2"/>
  <c r="M494" i="2"/>
  <c r="D494" i="2"/>
  <c r="C494" i="2"/>
  <c r="B494" i="2"/>
  <c r="Q493" i="2"/>
  <c r="P493" i="2"/>
  <c r="O493" i="2"/>
  <c r="N493" i="2"/>
  <c r="M493" i="2"/>
  <c r="D493" i="2"/>
  <c r="C493" i="2"/>
  <c r="B493" i="2"/>
  <c r="Q492" i="2"/>
  <c r="P492" i="2"/>
  <c r="O492" i="2"/>
  <c r="N492" i="2"/>
  <c r="M492" i="2"/>
  <c r="D492" i="2"/>
  <c r="C492" i="2"/>
  <c r="B492" i="2"/>
  <c r="Q491" i="2"/>
  <c r="P491" i="2"/>
  <c r="O491" i="2"/>
  <c r="N491" i="2"/>
  <c r="M491" i="2"/>
  <c r="D491" i="2"/>
  <c r="C491" i="2"/>
  <c r="B491" i="2"/>
  <c r="Q490" i="2"/>
  <c r="P490" i="2"/>
  <c r="O490" i="2"/>
  <c r="N490" i="2"/>
  <c r="M490" i="2"/>
  <c r="D490" i="2"/>
  <c r="C490" i="2"/>
  <c r="B490" i="2"/>
  <c r="Q489" i="2"/>
  <c r="P489" i="2"/>
  <c r="O489" i="2"/>
  <c r="N489" i="2"/>
  <c r="M489" i="2"/>
  <c r="D489" i="2"/>
  <c r="C489" i="2"/>
  <c r="B489" i="2"/>
  <c r="Q488" i="2"/>
  <c r="P488" i="2"/>
  <c r="O488" i="2"/>
  <c r="N488" i="2"/>
  <c r="M488" i="2"/>
  <c r="D488" i="2"/>
  <c r="C488" i="2"/>
  <c r="B488" i="2"/>
  <c r="Q487" i="2"/>
  <c r="P487" i="2"/>
  <c r="O487" i="2"/>
  <c r="N487" i="2"/>
  <c r="M487" i="2"/>
  <c r="D487" i="2"/>
  <c r="C487" i="2"/>
  <c r="B487" i="2"/>
  <c r="Q486" i="2"/>
  <c r="P486" i="2"/>
  <c r="O486" i="2"/>
  <c r="N486" i="2"/>
  <c r="M486" i="2"/>
  <c r="D486" i="2"/>
  <c r="C486" i="2"/>
  <c r="B486" i="2"/>
  <c r="Q485" i="2"/>
  <c r="P485" i="2"/>
  <c r="O485" i="2"/>
  <c r="N485" i="2"/>
  <c r="M485" i="2"/>
  <c r="D485" i="2"/>
  <c r="C485" i="2"/>
  <c r="B485" i="2"/>
  <c r="Q484" i="2"/>
  <c r="P484" i="2"/>
  <c r="O484" i="2"/>
  <c r="N484" i="2"/>
  <c r="M484" i="2"/>
  <c r="D484" i="2"/>
  <c r="C484" i="2"/>
  <c r="B484" i="2"/>
  <c r="Q483" i="2"/>
  <c r="P483" i="2"/>
  <c r="O483" i="2"/>
  <c r="N483" i="2"/>
  <c r="M483" i="2"/>
  <c r="D483" i="2"/>
  <c r="C483" i="2"/>
  <c r="B483" i="2"/>
  <c r="Q482" i="2"/>
  <c r="P482" i="2"/>
  <c r="O482" i="2"/>
  <c r="N482" i="2"/>
  <c r="M482" i="2"/>
  <c r="D482" i="2"/>
  <c r="C482" i="2"/>
  <c r="B482" i="2"/>
  <c r="Q481" i="2"/>
  <c r="P481" i="2"/>
  <c r="O481" i="2"/>
  <c r="N481" i="2"/>
  <c r="M481" i="2"/>
  <c r="D481" i="2"/>
  <c r="C481" i="2"/>
  <c r="B481" i="2"/>
  <c r="Q480" i="2"/>
  <c r="P480" i="2"/>
  <c r="O480" i="2"/>
  <c r="N480" i="2"/>
  <c r="M480" i="2"/>
  <c r="D480" i="2"/>
  <c r="C480" i="2"/>
  <c r="B480" i="2"/>
  <c r="Q479" i="2"/>
  <c r="P479" i="2"/>
  <c r="O479" i="2"/>
  <c r="N479" i="2"/>
  <c r="M479" i="2"/>
  <c r="D479" i="2"/>
  <c r="C479" i="2"/>
  <c r="B479" i="2"/>
  <c r="Q478" i="2"/>
  <c r="P478" i="2"/>
  <c r="O478" i="2"/>
  <c r="N478" i="2"/>
  <c r="M478" i="2"/>
  <c r="D478" i="2"/>
  <c r="C478" i="2"/>
  <c r="B478" i="2"/>
  <c r="Q477" i="2"/>
  <c r="P477" i="2"/>
  <c r="O477" i="2"/>
  <c r="N477" i="2"/>
  <c r="M477" i="2"/>
  <c r="D477" i="2"/>
  <c r="C477" i="2"/>
  <c r="B477" i="2"/>
  <c r="Q476" i="2"/>
  <c r="P476" i="2"/>
  <c r="O476" i="2"/>
  <c r="N476" i="2"/>
  <c r="M476" i="2"/>
  <c r="D476" i="2"/>
  <c r="C476" i="2"/>
  <c r="B476" i="2"/>
  <c r="Q475" i="2"/>
  <c r="P475" i="2"/>
  <c r="O475" i="2"/>
  <c r="N475" i="2"/>
  <c r="M475" i="2"/>
  <c r="D475" i="2"/>
  <c r="C475" i="2"/>
  <c r="B475" i="2"/>
  <c r="Q474" i="2"/>
  <c r="P474" i="2"/>
  <c r="O474" i="2"/>
  <c r="N474" i="2"/>
  <c r="M474" i="2"/>
  <c r="D474" i="2"/>
  <c r="C474" i="2"/>
  <c r="B474" i="2"/>
  <c r="Q473" i="2"/>
  <c r="P473" i="2"/>
  <c r="O473" i="2"/>
  <c r="N473" i="2"/>
  <c r="M473" i="2"/>
  <c r="D473" i="2"/>
  <c r="C473" i="2"/>
  <c r="B473" i="2"/>
  <c r="Q472" i="2"/>
  <c r="P472" i="2"/>
  <c r="O472" i="2"/>
  <c r="N472" i="2"/>
  <c r="M472" i="2"/>
  <c r="D472" i="2"/>
  <c r="C472" i="2"/>
  <c r="B472" i="2"/>
  <c r="Q471" i="2"/>
  <c r="P471" i="2"/>
  <c r="O471" i="2"/>
  <c r="N471" i="2"/>
  <c r="M471" i="2"/>
  <c r="D471" i="2"/>
  <c r="C471" i="2"/>
  <c r="B471" i="2"/>
  <c r="Q470" i="2"/>
  <c r="P470" i="2"/>
  <c r="O470" i="2"/>
  <c r="N470" i="2"/>
  <c r="M470" i="2"/>
  <c r="D470" i="2"/>
  <c r="C470" i="2"/>
  <c r="B470" i="2"/>
  <c r="Q469" i="2"/>
  <c r="P469" i="2"/>
  <c r="O469" i="2"/>
  <c r="N469" i="2"/>
  <c r="M469" i="2"/>
  <c r="D469" i="2"/>
  <c r="C469" i="2"/>
  <c r="B469" i="2"/>
  <c r="Q468" i="2"/>
  <c r="P468" i="2"/>
  <c r="O468" i="2"/>
  <c r="N468" i="2"/>
  <c r="M468" i="2"/>
  <c r="D468" i="2"/>
  <c r="C468" i="2"/>
  <c r="B468" i="2"/>
  <c r="Q467" i="2"/>
  <c r="P467" i="2"/>
  <c r="O467" i="2"/>
  <c r="N467" i="2"/>
  <c r="M467" i="2"/>
  <c r="D467" i="2"/>
  <c r="C467" i="2"/>
  <c r="B467" i="2"/>
  <c r="Q466" i="2"/>
  <c r="P466" i="2"/>
  <c r="O466" i="2"/>
  <c r="N466" i="2"/>
  <c r="M466" i="2"/>
  <c r="D466" i="2"/>
  <c r="C466" i="2"/>
  <c r="B466" i="2"/>
  <c r="Q465" i="2"/>
  <c r="P465" i="2"/>
  <c r="O465" i="2"/>
  <c r="N465" i="2"/>
  <c r="M465" i="2"/>
  <c r="D465" i="2"/>
  <c r="C465" i="2"/>
  <c r="B465" i="2"/>
  <c r="Q464" i="2"/>
  <c r="P464" i="2"/>
  <c r="O464" i="2"/>
  <c r="N464" i="2"/>
  <c r="M464" i="2"/>
  <c r="D464" i="2"/>
  <c r="C464" i="2"/>
  <c r="B464" i="2"/>
  <c r="Q463" i="2"/>
  <c r="P463" i="2"/>
  <c r="O463" i="2"/>
  <c r="N463" i="2"/>
  <c r="M463" i="2"/>
  <c r="D463" i="2"/>
  <c r="C463" i="2"/>
  <c r="B463" i="2"/>
  <c r="Q462" i="2"/>
  <c r="P462" i="2"/>
  <c r="O462" i="2"/>
  <c r="N462" i="2"/>
  <c r="M462" i="2"/>
  <c r="D462" i="2"/>
  <c r="C462" i="2"/>
  <c r="B462" i="2"/>
  <c r="Q461" i="2"/>
  <c r="P461" i="2"/>
  <c r="O461" i="2"/>
  <c r="N461" i="2"/>
  <c r="M461" i="2"/>
  <c r="D461" i="2"/>
  <c r="C461" i="2"/>
  <c r="B461" i="2"/>
  <c r="Q460" i="2"/>
  <c r="P460" i="2"/>
  <c r="O460" i="2"/>
  <c r="N460" i="2"/>
  <c r="M460" i="2"/>
  <c r="D460" i="2"/>
  <c r="C460" i="2"/>
  <c r="B460" i="2"/>
  <c r="Q459" i="2"/>
  <c r="P459" i="2"/>
  <c r="O459" i="2"/>
  <c r="N459" i="2"/>
  <c r="M459" i="2"/>
  <c r="D459" i="2"/>
  <c r="C459" i="2"/>
  <c r="B459" i="2"/>
  <c r="Q458" i="2"/>
  <c r="P458" i="2"/>
  <c r="O458" i="2"/>
  <c r="N458" i="2"/>
  <c r="M458" i="2"/>
  <c r="D458" i="2"/>
  <c r="C458" i="2"/>
  <c r="B458" i="2"/>
  <c r="Q457" i="2"/>
  <c r="P457" i="2"/>
  <c r="O457" i="2"/>
  <c r="N457" i="2"/>
  <c r="M457" i="2"/>
  <c r="D457" i="2"/>
  <c r="C457" i="2"/>
  <c r="B457" i="2"/>
  <c r="Q456" i="2"/>
  <c r="P456" i="2"/>
  <c r="O456" i="2"/>
  <c r="N456" i="2"/>
  <c r="M456" i="2"/>
  <c r="D456" i="2"/>
  <c r="C456" i="2"/>
  <c r="B456" i="2"/>
  <c r="Q455" i="2"/>
  <c r="P455" i="2"/>
  <c r="O455" i="2"/>
  <c r="N455" i="2"/>
  <c r="M455" i="2"/>
  <c r="D455" i="2"/>
  <c r="C455" i="2"/>
  <c r="B455" i="2"/>
  <c r="Q454" i="2"/>
  <c r="P454" i="2"/>
  <c r="O454" i="2"/>
  <c r="N454" i="2"/>
  <c r="M454" i="2"/>
  <c r="D454" i="2"/>
  <c r="C454" i="2"/>
  <c r="B454" i="2"/>
  <c r="Q453" i="2"/>
  <c r="P453" i="2"/>
  <c r="O453" i="2"/>
  <c r="N453" i="2"/>
  <c r="M453" i="2"/>
  <c r="D453" i="2"/>
  <c r="C453" i="2"/>
  <c r="B453" i="2"/>
  <c r="Q452" i="2"/>
  <c r="P452" i="2"/>
  <c r="O452" i="2"/>
  <c r="N452" i="2"/>
  <c r="M452" i="2"/>
  <c r="D452" i="2"/>
  <c r="C452" i="2"/>
  <c r="B452" i="2"/>
  <c r="Q451" i="2"/>
  <c r="P451" i="2"/>
  <c r="O451" i="2"/>
  <c r="N451" i="2"/>
  <c r="M451" i="2"/>
  <c r="D451" i="2"/>
  <c r="C451" i="2"/>
  <c r="B451" i="2"/>
  <c r="Q450" i="2"/>
  <c r="P450" i="2"/>
  <c r="O450" i="2"/>
  <c r="N450" i="2"/>
  <c r="M450" i="2"/>
  <c r="D450" i="2"/>
  <c r="C450" i="2"/>
  <c r="B450" i="2"/>
  <c r="Q449" i="2"/>
  <c r="P449" i="2"/>
  <c r="O449" i="2"/>
  <c r="N449" i="2"/>
  <c r="M449" i="2"/>
  <c r="D449" i="2"/>
  <c r="C449" i="2"/>
  <c r="B449" i="2"/>
  <c r="Q448" i="2"/>
  <c r="P448" i="2"/>
  <c r="O448" i="2"/>
  <c r="N448" i="2"/>
  <c r="M448" i="2"/>
  <c r="D448" i="2"/>
  <c r="C448" i="2"/>
  <c r="B448" i="2"/>
  <c r="Q447" i="2"/>
  <c r="P447" i="2"/>
  <c r="O447" i="2"/>
  <c r="N447" i="2"/>
  <c r="M447" i="2"/>
  <c r="D447" i="2"/>
  <c r="C447" i="2"/>
  <c r="B447" i="2"/>
  <c r="Q446" i="2"/>
  <c r="P446" i="2"/>
  <c r="O446" i="2"/>
  <c r="N446" i="2"/>
  <c r="M446" i="2"/>
  <c r="D446" i="2"/>
  <c r="C446" i="2"/>
  <c r="B446" i="2"/>
  <c r="Q445" i="2"/>
  <c r="P445" i="2"/>
  <c r="O445" i="2"/>
  <c r="N445" i="2"/>
  <c r="M445" i="2"/>
  <c r="D445" i="2"/>
  <c r="C445" i="2"/>
  <c r="B445" i="2"/>
  <c r="Q444" i="2"/>
  <c r="P444" i="2"/>
  <c r="O444" i="2"/>
  <c r="N444" i="2"/>
  <c r="M444" i="2"/>
  <c r="D444" i="2"/>
  <c r="C444" i="2"/>
  <c r="B444" i="2"/>
  <c r="Q443" i="2"/>
  <c r="P443" i="2"/>
  <c r="O443" i="2"/>
  <c r="N443" i="2"/>
  <c r="M443" i="2"/>
  <c r="D443" i="2"/>
  <c r="C443" i="2"/>
  <c r="B443" i="2"/>
  <c r="Q442" i="2"/>
  <c r="P442" i="2"/>
  <c r="O442" i="2"/>
  <c r="N442" i="2"/>
  <c r="M442" i="2"/>
  <c r="D442" i="2"/>
  <c r="C442" i="2"/>
  <c r="B442" i="2"/>
  <c r="Q441" i="2"/>
  <c r="P441" i="2"/>
  <c r="O441" i="2"/>
  <c r="N441" i="2"/>
  <c r="M441" i="2"/>
  <c r="D441" i="2"/>
  <c r="C441" i="2"/>
  <c r="B441" i="2"/>
  <c r="Q440" i="2"/>
  <c r="P440" i="2"/>
  <c r="O440" i="2"/>
  <c r="N440" i="2"/>
  <c r="M440" i="2"/>
  <c r="D440" i="2"/>
  <c r="C440" i="2"/>
  <c r="B440" i="2"/>
  <c r="Q439" i="2"/>
  <c r="P439" i="2"/>
  <c r="O439" i="2"/>
  <c r="N439" i="2"/>
  <c r="M439" i="2"/>
  <c r="D439" i="2"/>
  <c r="C439" i="2"/>
  <c r="B439" i="2"/>
  <c r="Q438" i="2"/>
  <c r="P438" i="2"/>
  <c r="O438" i="2"/>
  <c r="N438" i="2"/>
  <c r="M438" i="2"/>
  <c r="D438" i="2"/>
  <c r="C438" i="2"/>
  <c r="B438" i="2"/>
  <c r="Q437" i="2"/>
  <c r="P437" i="2"/>
  <c r="O437" i="2"/>
  <c r="N437" i="2"/>
  <c r="M437" i="2"/>
  <c r="D437" i="2"/>
  <c r="C437" i="2"/>
  <c r="B437" i="2"/>
  <c r="Q436" i="2"/>
  <c r="P436" i="2"/>
  <c r="O436" i="2"/>
  <c r="N436" i="2"/>
  <c r="M436" i="2"/>
  <c r="D436" i="2"/>
  <c r="C436" i="2"/>
  <c r="B436" i="2"/>
  <c r="Q435" i="2"/>
  <c r="P435" i="2"/>
  <c r="O435" i="2"/>
  <c r="N435" i="2"/>
  <c r="M435" i="2"/>
  <c r="D435" i="2"/>
  <c r="C435" i="2"/>
  <c r="B435" i="2"/>
  <c r="Q434" i="2"/>
  <c r="P434" i="2"/>
  <c r="O434" i="2"/>
  <c r="N434" i="2"/>
  <c r="M434" i="2"/>
  <c r="D434" i="2"/>
  <c r="C434" i="2"/>
  <c r="B434" i="2"/>
  <c r="Q433" i="2"/>
  <c r="P433" i="2"/>
  <c r="O433" i="2"/>
  <c r="N433" i="2"/>
  <c r="M433" i="2"/>
  <c r="D433" i="2"/>
  <c r="C433" i="2"/>
  <c r="B433" i="2"/>
  <c r="Q432" i="2"/>
  <c r="P432" i="2"/>
  <c r="O432" i="2"/>
  <c r="N432" i="2"/>
  <c r="M432" i="2"/>
  <c r="D432" i="2"/>
  <c r="C432" i="2"/>
  <c r="B432" i="2"/>
  <c r="Q431" i="2"/>
  <c r="P431" i="2"/>
  <c r="O431" i="2"/>
  <c r="N431" i="2"/>
  <c r="M431" i="2"/>
  <c r="D431" i="2"/>
  <c r="C431" i="2"/>
  <c r="B431" i="2"/>
  <c r="Q430" i="2"/>
  <c r="P430" i="2"/>
  <c r="O430" i="2"/>
  <c r="N430" i="2"/>
  <c r="M430" i="2"/>
  <c r="D430" i="2"/>
  <c r="C430" i="2"/>
  <c r="B430" i="2"/>
  <c r="Q429" i="2"/>
  <c r="P429" i="2"/>
  <c r="O429" i="2"/>
  <c r="N429" i="2"/>
  <c r="M429" i="2"/>
  <c r="D429" i="2"/>
  <c r="C429" i="2"/>
  <c r="B429" i="2"/>
  <c r="Q428" i="2"/>
  <c r="P428" i="2"/>
  <c r="O428" i="2"/>
  <c r="N428" i="2"/>
  <c r="M428" i="2"/>
  <c r="D428" i="2"/>
  <c r="C428" i="2"/>
  <c r="B428" i="2"/>
  <c r="Q427" i="2"/>
  <c r="P427" i="2"/>
  <c r="O427" i="2"/>
  <c r="N427" i="2"/>
  <c r="M427" i="2"/>
  <c r="D427" i="2"/>
  <c r="C427" i="2"/>
  <c r="B427" i="2"/>
  <c r="Q426" i="2"/>
  <c r="P426" i="2"/>
  <c r="O426" i="2"/>
  <c r="N426" i="2"/>
  <c r="M426" i="2"/>
  <c r="D426" i="2"/>
  <c r="C426" i="2"/>
  <c r="B426" i="2"/>
  <c r="Q425" i="2"/>
  <c r="P425" i="2"/>
  <c r="O425" i="2"/>
  <c r="N425" i="2"/>
  <c r="M425" i="2"/>
  <c r="D425" i="2"/>
  <c r="C425" i="2"/>
  <c r="B425" i="2"/>
  <c r="Q424" i="2"/>
  <c r="P424" i="2"/>
  <c r="O424" i="2"/>
  <c r="N424" i="2"/>
  <c r="M424" i="2"/>
  <c r="D424" i="2"/>
  <c r="C424" i="2"/>
  <c r="B424" i="2"/>
  <c r="Q423" i="2"/>
  <c r="P423" i="2"/>
  <c r="O423" i="2"/>
  <c r="N423" i="2"/>
  <c r="M423" i="2"/>
  <c r="D423" i="2"/>
  <c r="C423" i="2"/>
  <c r="B423" i="2"/>
  <c r="Q422" i="2"/>
  <c r="P422" i="2"/>
  <c r="O422" i="2"/>
  <c r="N422" i="2"/>
  <c r="M422" i="2"/>
  <c r="D422" i="2"/>
  <c r="C422" i="2"/>
  <c r="B422" i="2"/>
  <c r="Q421" i="2"/>
  <c r="P421" i="2"/>
  <c r="O421" i="2"/>
  <c r="N421" i="2"/>
  <c r="M421" i="2"/>
  <c r="D421" i="2"/>
  <c r="C421" i="2"/>
  <c r="B421" i="2"/>
  <c r="Q420" i="2"/>
  <c r="P420" i="2"/>
  <c r="O420" i="2"/>
  <c r="N420" i="2"/>
  <c r="M420" i="2"/>
  <c r="D420" i="2"/>
  <c r="C420" i="2"/>
  <c r="B420" i="2"/>
  <c r="Q419" i="2"/>
  <c r="P419" i="2"/>
  <c r="O419" i="2"/>
  <c r="N419" i="2"/>
  <c r="M419" i="2"/>
  <c r="D419" i="2"/>
  <c r="C419" i="2"/>
  <c r="B419" i="2"/>
  <c r="Q418" i="2"/>
  <c r="P418" i="2"/>
  <c r="O418" i="2"/>
  <c r="N418" i="2"/>
  <c r="M418" i="2"/>
  <c r="D418" i="2"/>
  <c r="C418" i="2"/>
  <c r="B418" i="2"/>
  <c r="Q417" i="2"/>
  <c r="P417" i="2"/>
  <c r="O417" i="2"/>
  <c r="N417" i="2"/>
  <c r="M417" i="2"/>
  <c r="D417" i="2"/>
  <c r="C417" i="2"/>
  <c r="B417" i="2"/>
  <c r="Q416" i="2"/>
  <c r="P416" i="2"/>
  <c r="O416" i="2"/>
  <c r="N416" i="2"/>
  <c r="M416" i="2"/>
  <c r="D416" i="2"/>
  <c r="C416" i="2"/>
  <c r="B416" i="2"/>
  <c r="Q415" i="2"/>
  <c r="P415" i="2"/>
  <c r="O415" i="2"/>
  <c r="N415" i="2"/>
  <c r="M415" i="2"/>
  <c r="D415" i="2"/>
  <c r="C415" i="2"/>
  <c r="B415" i="2"/>
  <c r="Q414" i="2"/>
  <c r="P414" i="2"/>
  <c r="O414" i="2"/>
  <c r="N414" i="2"/>
  <c r="M414" i="2"/>
  <c r="D414" i="2"/>
  <c r="C414" i="2"/>
  <c r="B414" i="2"/>
  <c r="Q413" i="2"/>
  <c r="P413" i="2"/>
  <c r="O413" i="2"/>
  <c r="N413" i="2"/>
  <c r="M413" i="2"/>
  <c r="D413" i="2"/>
  <c r="C413" i="2"/>
  <c r="B413" i="2"/>
  <c r="Q412" i="2"/>
  <c r="P412" i="2"/>
  <c r="O412" i="2"/>
  <c r="N412" i="2"/>
  <c r="M412" i="2"/>
  <c r="D412" i="2"/>
  <c r="C412" i="2"/>
  <c r="B412" i="2"/>
  <c r="Q411" i="2"/>
  <c r="P411" i="2"/>
  <c r="O411" i="2"/>
  <c r="N411" i="2"/>
  <c r="M411" i="2"/>
  <c r="D411" i="2"/>
  <c r="C411" i="2"/>
  <c r="B411" i="2"/>
  <c r="Q410" i="2"/>
  <c r="P410" i="2"/>
  <c r="O410" i="2"/>
  <c r="N410" i="2"/>
  <c r="M410" i="2"/>
  <c r="D410" i="2"/>
  <c r="C410" i="2"/>
  <c r="B410" i="2"/>
  <c r="Q409" i="2"/>
  <c r="P409" i="2"/>
  <c r="O409" i="2"/>
  <c r="N409" i="2"/>
  <c r="M409" i="2"/>
  <c r="D409" i="2"/>
  <c r="C409" i="2"/>
  <c r="B409" i="2"/>
  <c r="Q408" i="2"/>
  <c r="P408" i="2"/>
  <c r="O408" i="2"/>
  <c r="N408" i="2"/>
  <c r="M408" i="2"/>
  <c r="D408" i="2"/>
  <c r="C408" i="2"/>
  <c r="B408" i="2"/>
  <c r="Q407" i="2"/>
  <c r="P407" i="2"/>
  <c r="O407" i="2"/>
  <c r="N407" i="2"/>
  <c r="M407" i="2"/>
  <c r="D407" i="2"/>
  <c r="C407" i="2"/>
  <c r="B407" i="2"/>
  <c r="Q406" i="2"/>
  <c r="P406" i="2"/>
  <c r="O406" i="2"/>
  <c r="N406" i="2"/>
  <c r="M406" i="2"/>
  <c r="D406" i="2"/>
  <c r="C406" i="2"/>
  <c r="B406" i="2"/>
  <c r="Q405" i="2"/>
  <c r="P405" i="2"/>
  <c r="O405" i="2"/>
  <c r="N405" i="2"/>
  <c r="M405" i="2"/>
  <c r="D405" i="2"/>
  <c r="C405" i="2"/>
  <c r="B405" i="2"/>
  <c r="Q404" i="2"/>
  <c r="P404" i="2"/>
  <c r="O404" i="2"/>
  <c r="N404" i="2"/>
  <c r="M404" i="2"/>
  <c r="D404" i="2"/>
  <c r="C404" i="2"/>
  <c r="B404" i="2"/>
  <c r="Q403" i="2"/>
  <c r="P403" i="2"/>
  <c r="O403" i="2"/>
  <c r="N403" i="2"/>
  <c r="M403" i="2"/>
  <c r="D403" i="2"/>
  <c r="C403" i="2"/>
  <c r="B403" i="2"/>
  <c r="Q402" i="2"/>
  <c r="P402" i="2"/>
  <c r="O402" i="2"/>
  <c r="N402" i="2"/>
  <c r="M402" i="2"/>
  <c r="D402" i="2"/>
  <c r="C402" i="2"/>
  <c r="B402" i="2"/>
  <c r="Q401" i="2"/>
  <c r="P401" i="2"/>
  <c r="O401" i="2"/>
  <c r="N401" i="2"/>
  <c r="M401" i="2"/>
  <c r="D401" i="2"/>
  <c r="C401" i="2"/>
  <c r="B401" i="2"/>
  <c r="Q400" i="2"/>
  <c r="P400" i="2"/>
  <c r="O400" i="2"/>
  <c r="N400" i="2"/>
  <c r="M400" i="2"/>
  <c r="D400" i="2"/>
  <c r="C400" i="2"/>
  <c r="B400" i="2"/>
  <c r="Q399" i="2"/>
  <c r="P399" i="2"/>
  <c r="O399" i="2"/>
  <c r="N399" i="2"/>
  <c r="M399" i="2"/>
  <c r="D399" i="2"/>
  <c r="C399" i="2"/>
  <c r="B399" i="2"/>
  <c r="Q398" i="2"/>
  <c r="P398" i="2"/>
  <c r="O398" i="2"/>
  <c r="N398" i="2"/>
  <c r="M398" i="2"/>
  <c r="D398" i="2"/>
  <c r="C398" i="2"/>
  <c r="B398" i="2"/>
  <c r="Q397" i="2"/>
  <c r="P397" i="2"/>
  <c r="O397" i="2"/>
  <c r="N397" i="2"/>
  <c r="M397" i="2"/>
  <c r="D397" i="2"/>
  <c r="C397" i="2"/>
  <c r="B397" i="2"/>
  <c r="Q396" i="2"/>
  <c r="P396" i="2"/>
  <c r="O396" i="2"/>
  <c r="N396" i="2"/>
  <c r="M396" i="2"/>
  <c r="D396" i="2"/>
  <c r="C396" i="2"/>
  <c r="B396" i="2"/>
  <c r="Q395" i="2"/>
  <c r="P395" i="2"/>
  <c r="O395" i="2"/>
  <c r="N395" i="2"/>
  <c r="M395" i="2"/>
  <c r="D395" i="2"/>
  <c r="C395" i="2"/>
  <c r="B395" i="2"/>
  <c r="Q394" i="2"/>
  <c r="P394" i="2"/>
  <c r="O394" i="2"/>
  <c r="N394" i="2"/>
  <c r="M394" i="2"/>
  <c r="D394" i="2"/>
  <c r="C394" i="2"/>
  <c r="B394" i="2"/>
  <c r="Q393" i="2"/>
  <c r="P393" i="2"/>
  <c r="O393" i="2"/>
  <c r="N393" i="2"/>
  <c r="M393" i="2"/>
  <c r="D393" i="2"/>
  <c r="C393" i="2"/>
  <c r="B393" i="2"/>
  <c r="Q392" i="2"/>
  <c r="P392" i="2"/>
  <c r="O392" i="2"/>
  <c r="N392" i="2"/>
  <c r="M392" i="2"/>
  <c r="D392" i="2"/>
  <c r="C392" i="2"/>
  <c r="B392" i="2"/>
  <c r="Q391" i="2"/>
  <c r="P391" i="2"/>
  <c r="O391" i="2"/>
  <c r="N391" i="2"/>
  <c r="M391" i="2"/>
  <c r="D391" i="2"/>
  <c r="C391" i="2"/>
  <c r="B391" i="2"/>
  <c r="Q390" i="2"/>
  <c r="P390" i="2"/>
  <c r="O390" i="2"/>
  <c r="N390" i="2"/>
  <c r="M390" i="2"/>
  <c r="D390" i="2"/>
  <c r="C390" i="2"/>
  <c r="B390" i="2"/>
  <c r="Q389" i="2"/>
  <c r="P389" i="2"/>
  <c r="O389" i="2"/>
  <c r="N389" i="2"/>
  <c r="M389" i="2"/>
  <c r="D389" i="2"/>
  <c r="C389" i="2"/>
  <c r="B389" i="2"/>
  <c r="Q388" i="2"/>
  <c r="P388" i="2"/>
  <c r="O388" i="2"/>
  <c r="N388" i="2"/>
  <c r="M388" i="2"/>
  <c r="D388" i="2"/>
  <c r="C388" i="2"/>
  <c r="B388" i="2"/>
  <c r="Q387" i="2"/>
  <c r="P387" i="2"/>
  <c r="O387" i="2"/>
  <c r="N387" i="2"/>
  <c r="M387" i="2"/>
  <c r="D387" i="2"/>
  <c r="C387" i="2"/>
  <c r="B387" i="2"/>
  <c r="Q386" i="2"/>
  <c r="P386" i="2"/>
  <c r="O386" i="2"/>
  <c r="N386" i="2"/>
  <c r="M386" i="2"/>
  <c r="D386" i="2"/>
  <c r="C386" i="2"/>
  <c r="B386" i="2"/>
  <c r="Q385" i="2"/>
  <c r="P385" i="2"/>
  <c r="O385" i="2"/>
  <c r="N385" i="2"/>
  <c r="M385" i="2"/>
  <c r="D385" i="2"/>
  <c r="C385" i="2"/>
  <c r="B385" i="2"/>
  <c r="Q384" i="2"/>
  <c r="P384" i="2"/>
  <c r="O384" i="2"/>
  <c r="N384" i="2"/>
  <c r="M384" i="2"/>
  <c r="D384" i="2"/>
  <c r="C384" i="2"/>
  <c r="B384" i="2"/>
  <c r="Q383" i="2"/>
  <c r="P383" i="2"/>
  <c r="O383" i="2"/>
  <c r="N383" i="2"/>
  <c r="M383" i="2"/>
  <c r="D383" i="2"/>
  <c r="C383" i="2"/>
  <c r="B383" i="2"/>
  <c r="Q382" i="2"/>
  <c r="P382" i="2"/>
  <c r="O382" i="2"/>
  <c r="N382" i="2"/>
  <c r="M382" i="2"/>
  <c r="D382" i="2"/>
  <c r="C382" i="2"/>
  <c r="B382" i="2"/>
  <c r="Q381" i="2"/>
  <c r="P381" i="2"/>
  <c r="O381" i="2"/>
  <c r="N381" i="2"/>
  <c r="M381" i="2"/>
  <c r="D381" i="2"/>
  <c r="C381" i="2"/>
  <c r="B381" i="2"/>
  <c r="Q380" i="2"/>
  <c r="P380" i="2"/>
  <c r="O380" i="2"/>
  <c r="N380" i="2"/>
  <c r="M380" i="2"/>
  <c r="D380" i="2"/>
  <c r="C380" i="2"/>
  <c r="B380" i="2"/>
  <c r="Q379" i="2"/>
  <c r="P379" i="2"/>
  <c r="O379" i="2"/>
  <c r="N379" i="2"/>
  <c r="M379" i="2"/>
  <c r="D379" i="2"/>
  <c r="C379" i="2"/>
  <c r="B379" i="2"/>
  <c r="Q378" i="2"/>
  <c r="P378" i="2"/>
  <c r="O378" i="2"/>
  <c r="N378" i="2"/>
  <c r="M378" i="2"/>
  <c r="D378" i="2"/>
  <c r="C378" i="2"/>
  <c r="B378" i="2"/>
  <c r="Q377" i="2"/>
  <c r="P377" i="2"/>
  <c r="O377" i="2"/>
  <c r="N377" i="2"/>
  <c r="M377" i="2"/>
  <c r="D377" i="2"/>
  <c r="C377" i="2"/>
  <c r="B377" i="2"/>
  <c r="Q376" i="2"/>
  <c r="P376" i="2"/>
  <c r="O376" i="2"/>
  <c r="N376" i="2"/>
  <c r="M376" i="2"/>
  <c r="D376" i="2"/>
  <c r="C376" i="2"/>
  <c r="B376" i="2"/>
  <c r="Q375" i="2"/>
  <c r="P375" i="2"/>
  <c r="O375" i="2"/>
  <c r="N375" i="2"/>
  <c r="M375" i="2"/>
  <c r="D375" i="2"/>
  <c r="C375" i="2"/>
  <c r="B375" i="2"/>
  <c r="Q374" i="2"/>
  <c r="P374" i="2"/>
  <c r="O374" i="2"/>
  <c r="N374" i="2"/>
  <c r="M374" i="2"/>
  <c r="D374" i="2"/>
  <c r="C374" i="2"/>
  <c r="B374" i="2"/>
  <c r="Q373" i="2"/>
  <c r="P373" i="2"/>
  <c r="O373" i="2"/>
  <c r="N373" i="2"/>
  <c r="M373" i="2"/>
  <c r="D373" i="2"/>
  <c r="C373" i="2"/>
  <c r="B373" i="2"/>
  <c r="Q372" i="2"/>
  <c r="P372" i="2"/>
  <c r="O372" i="2"/>
  <c r="N372" i="2"/>
  <c r="M372" i="2"/>
  <c r="D372" i="2"/>
  <c r="C372" i="2"/>
  <c r="B372" i="2"/>
  <c r="Q371" i="2"/>
  <c r="P371" i="2"/>
  <c r="O371" i="2"/>
  <c r="N371" i="2"/>
  <c r="M371" i="2"/>
  <c r="D371" i="2"/>
  <c r="C371" i="2"/>
  <c r="B371" i="2"/>
  <c r="Q370" i="2"/>
  <c r="P370" i="2"/>
  <c r="O370" i="2"/>
  <c r="N370" i="2"/>
  <c r="M370" i="2"/>
  <c r="D370" i="2"/>
  <c r="C370" i="2"/>
  <c r="B370" i="2"/>
  <c r="Q369" i="2"/>
  <c r="P369" i="2"/>
  <c r="O369" i="2"/>
  <c r="N369" i="2"/>
  <c r="M369" i="2"/>
  <c r="D369" i="2"/>
  <c r="C369" i="2"/>
  <c r="B369" i="2"/>
  <c r="Q368" i="2"/>
  <c r="P368" i="2"/>
  <c r="O368" i="2"/>
  <c r="N368" i="2"/>
  <c r="M368" i="2"/>
  <c r="D368" i="2"/>
  <c r="C368" i="2"/>
  <c r="B368" i="2"/>
  <c r="Q367" i="2"/>
  <c r="P367" i="2"/>
  <c r="O367" i="2"/>
  <c r="N367" i="2"/>
  <c r="M367" i="2"/>
  <c r="D367" i="2"/>
  <c r="C367" i="2"/>
  <c r="B367" i="2"/>
  <c r="Q366" i="2"/>
  <c r="P366" i="2"/>
  <c r="O366" i="2"/>
  <c r="N366" i="2"/>
  <c r="M366" i="2"/>
  <c r="D366" i="2"/>
  <c r="C366" i="2"/>
  <c r="B366" i="2"/>
  <c r="Q365" i="2"/>
  <c r="P365" i="2"/>
  <c r="O365" i="2"/>
  <c r="N365" i="2"/>
  <c r="M365" i="2"/>
  <c r="D365" i="2"/>
  <c r="C365" i="2"/>
  <c r="B365" i="2"/>
  <c r="Q364" i="2"/>
  <c r="P364" i="2"/>
  <c r="O364" i="2"/>
  <c r="N364" i="2"/>
  <c r="M364" i="2"/>
  <c r="D364" i="2"/>
  <c r="C364" i="2"/>
  <c r="B364" i="2"/>
  <c r="Q363" i="2"/>
  <c r="P363" i="2"/>
  <c r="O363" i="2"/>
  <c r="N363" i="2"/>
  <c r="M363" i="2"/>
  <c r="D363" i="2"/>
  <c r="C363" i="2"/>
  <c r="B363" i="2"/>
  <c r="Q362" i="2"/>
  <c r="P362" i="2"/>
  <c r="O362" i="2"/>
  <c r="N362" i="2"/>
  <c r="M362" i="2"/>
  <c r="D362" i="2"/>
  <c r="C362" i="2"/>
  <c r="B362" i="2"/>
  <c r="Q361" i="2"/>
  <c r="P361" i="2"/>
  <c r="O361" i="2"/>
  <c r="N361" i="2"/>
  <c r="M361" i="2"/>
  <c r="D361" i="2"/>
  <c r="C361" i="2"/>
  <c r="B361" i="2"/>
  <c r="Q360" i="2"/>
  <c r="P360" i="2"/>
  <c r="O360" i="2"/>
  <c r="N360" i="2"/>
  <c r="M360" i="2"/>
  <c r="D360" i="2"/>
  <c r="C360" i="2"/>
  <c r="B360" i="2"/>
  <c r="Q359" i="2"/>
  <c r="P359" i="2"/>
  <c r="O359" i="2"/>
  <c r="N359" i="2"/>
  <c r="M359" i="2"/>
  <c r="D359" i="2"/>
  <c r="C359" i="2"/>
  <c r="B359" i="2"/>
  <c r="Q358" i="2"/>
  <c r="P358" i="2"/>
  <c r="O358" i="2"/>
  <c r="N358" i="2"/>
  <c r="M358" i="2"/>
  <c r="D358" i="2"/>
  <c r="C358" i="2"/>
  <c r="B358" i="2"/>
  <c r="Q357" i="2"/>
  <c r="P357" i="2"/>
  <c r="O357" i="2"/>
  <c r="N357" i="2"/>
  <c r="M357" i="2"/>
  <c r="D357" i="2"/>
  <c r="C357" i="2"/>
  <c r="B357" i="2"/>
  <c r="Q356" i="2"/>
  <c r="P356" i="2"/>
  <c r="O356" i="2"/>
  <c r="N356" i="2"/>
  <c r="M356" i="2"/>
  <c r="D356" i="2"/>
  <c r="C356" i="2"/>
  <c r="B356" i="2"/>
  <c r="Q355" i="2"/>
  <c r="P355" i="2"/>
  <c r="O355" i="2"/>
  <c r="N355" i="2"/>
  <c r="M355" i="2"/>
  <c r="D355" i="2"/>
  <c r="C355" i="2"/>
  <c r="B355" i="2"/>
  <c r="Q354" i="2"/>
  <c r="P354" i="2"/>
  <c r="O354" i="2"/>
  <c r="N354" i="2"/>
  <c r="M354" i="2"/>
  <c r="D354" i="2"/>
  <c r="C354" i="2"/>
  <c r="B354" i="2"/>
  <c r="Q353" i="2"/>
  <c r="P353" i="2"/>
  <c r="O353" i="2"/>
  <c r="N353" i="2"/>
  <c r="M353" i="2"/>
  <c r="D353" i="2"/>
  <c r="C353" i="2"/>
  <c r="B353" i="2"/>
  <c r="Q352" i="2"/>
  <c r="P352" i="2"/>
  <c r="O352" i="2"/>
  <c r="N352" i="2"/>
  <c r="M352" i="2"/>
  <c r="D352" i="2"/>
  <c r="C352" i="2"/>
  <c r="B352" i="2"/>
  <c r="Q351" i="2"/>
  <c r="P351" i="2"/>
  <c r="O351" i="2"/>
  <c r="N351" i="2"/>
  <c r="M351" i="2"/>
  <c r="D351" i="2"/>
  <c r="C351" i="2"/>
  <c r="B351" i="2"/>
  <c r="Q350" i="2"/>
  <c r="P350" i="2"/>
  <c r="O350" i="2"/>
  <c r="N350" i="2"/>
  <c r="M350" i="2"/>
  <c r="D350" i="2"/>
  <c r="C350" i="2"/>
  <c r="B350" i="2"/>
  <c r="Q349" i="2"/>
  <c r="P349" i="2"/>
  <c r="O349" i="2"/>
  <c r="N349" i="2"/>
  <c r="M349" i="2"/>
  <c r="D349" i="2"/>
  <c r="C349" i="2"/>
  <c r="B349" i="2"/>
  <c r="Q348" i="2"/>
  <c r="P348" i="2"/>
  <c r="O348" i="2"/>
  <c r="N348" i="2"/>
  <c r="M348" i="2"/>
  <c r="D348" i="2"/>
  <c r="C348" i="2"/>
  <c r="B348" i="2"/>
  <c r="Q347" i="2"/>
  <c r="P347" i="2"/>
  <c r="O347" i="2"/>
  <c r="N347" i="2"/>
  <c r="M347" i="2"/>
  <c r="D347" i="2"/>
  <c r="C347" i="2"/>
  <c r="B347" i="2"/>
  <c r="Q346" i="2"/>
  <c r="P346" i="2"/>
  <c r="O346" i="2"/>
  <c r="N346" i="2"/>
  <c r="M346" i="2"/>
  <c r="D346" i="2"/>
  <c r="C346" i="2"/>
  <c r="B346" i="2"/>
  <c r="Q345" i="2"/>
  <c r="P345" i="2"/>
  <c r="O345" i="2"/>
  <c r="N345" i="2"/>
  <c r="M345" i="2"/>
  <c r="D345" i="2"/>
  <c r="C345" i="2"/>
  <c r="B345" i="2"/>
  <c r="Q344" i="2"/>
  <c r="P344" i="2"/>
  <c r="O344" i="2"/>
  <c r="N344" i="2"/>
  <c r="M344" i="2"/>
  <c r="D344" i="2"/>
  <c r="C344" i="2"/>
  <c r="B344" i="2"/>
  <c r="Q343" i="2"/>
  <c r="P343" i="2"/>
  <c r="O343" i="2"/>
  <c r="N343" i="2"/>
  <c r="M343" i="2"/>
  <c r="D343" i="2"/>
  <c r="C343" i="2"/>
  <c r="B343" i="2"/>
  <c r="Q342" i="2"/>
  <c r="P342" i="2"/>
  <c r="O342" i="2"/>
  <c r="N342" i="2"/>
  <c r="M342" i="2"/>
  <c r="D342" i="2"/>
  <c r="C342" i="2"/>
  <c r="B342" i="2"/>
  <c r="Q341" i="2"/>
  <c r="P341" i="2"/>
  <c r="O341" i="2"/>
  <c r="N341" i="2"/>
  <c r="M341" i="2"/>
  <c r="D341" i="2"/>
  <c r="C341" i="2"/>
  <c r="B341" i="2"/>
  <c r="Q340" i="2"/>
  <c r="P340" i="2"/>
  <c r="O340" i="2"/>
  <c r="N340" i="2"/>
  <c r="M340" i="2"/>
  <c r="D340" i="2"/>
  <c r="C340" i="2"/>
  <c r="B340" i="2"/>
  <c r="Q339" i="2"/>
  <c r="P339" i="2"/>
  <c r="O339" i="2"/>
  <c r="N339" i="2"/>
  <c r="M339" i="2"/>
  <c r="D339" i="2"/>
  <c r="C339" i="2"/>
  <c r="B339" i="2"/>
  <c r="Q338" i="2"/>
  <c r="P338" i="2"/>
  <c r="O338" i="2"/>
  <c r="N338" i="2"/>
  <c r="M338" i="2"/>
  <c r="D338" i="2"/>
  <c r="C338" i="2"/>
  <c r="B338" i="2"/>
  <c r="Q337" i="2"/>
  <c r="P337" i="2"/>
  <c r="O337" i="2"/>
  <c r="N337" i="2"/>
  <c r="M337" i="2"/>
  <c r="D337" i="2"/>
  <c r="C337" i="2"/>
  <c r="B337" i="2"/>
  <c r="Q336" i="2"/>
  <c r="P336" i="2"/>
  <c r="O336" i="2"/>
  <c r="N336" i="2"/>
  <c r="M336" i="2"/>
  <c r="D336" i="2"/>
  <c r="C336" i="2"/>
  <c r="B336" i="2"/>
  <c r="Q335" i="2"/>
  <c r="P335" i="2"/>
  <c r="O335" i="2"/>
  <c r="N335" i="2"/>
  <c r="M335" i="2"/>
  <c r="D335" i="2"/>
  <c r="C335" i="2"/>
  <c r="B335" i="2"/>
  <c r="Q334" i="2"/>
  <c r="P334" i="2"/>
  <c r="O334" i="2"/>
  <c r="N334" i="2"/>
  <c r="M334" i="2"/>
  <c r="D334" i="2"/>
  <c r="C334" i="2"/>
  <c r="B334" i="2"/>
  <c r="Q333" i="2"/>
  <c r="P333" i="2"/>
  <c r="O333" i="2"/>
  <c r="N333" i="2"/>
  <c r="M333" i="2"/>
  <c r="D333" i="2"/>
  <c r="C333" i="2"/>
  <c r="B333" i="2"/>
  <c r="Q332" i="2"/>
  <c r="P332" i="2"/>
  <c r="O332" i="2"/>
  <c r="N332" i="2"/>
  <c r="M332" i="2"/>
  <c r="D332" i="2"/>
  <c r="C332" i="2"/>
  <c r="B332" i="2"/>
  <c r="Q331" i="2"/>
  <c r="P331" i="2"/>
  <c r="O331" i="2"/>
  <c r="N331" i="2"/>
  <c r="M331" i="2"/>
  <c r="D331" i="2"/>
  <c r="C331" i="2"/>
  <c r="B331" i="2"/>
  <c r="Q330" i="2"/>
  <c r="P330" i="2"/>
  <c r="O330" i="2"/>
  <c r="N330" i="2"/>
  <c r="M330" i="2"/>
  <c r="D330" i="2"/>
  <c r="C330" i="2"/>
  <c r="B330" i="2"/>
  <c r="Q329" i="2"/>
  <c r="P329" i="2"/>
  <c r="O329" i="2"/>
  <c r="N329" i="2"/>
  <c r="M329" i="2"/>
  <c r="D329" i="2"/>
  <c r="C329" i="2"/>
  <c r="B329" i="2"/>
  <c r="Q328" i="2"/>
  <c r="P328" i="2"/>
  <c r="O328" i="2"/>
  <c r="N328" i="2"/>
  <c r="M328" i="2"/>
  <c r="D328" i="2"/>
  <c r="C328" i="2"/>
  <c r="B328" i="2"/>
  <c r="Q327" i="2"/>
  <c r="P327" i="2"/>
  <c r="O327" i="2"/>
  <c r="N327" i="2"/>
  <c r="M327" i="2"/>
  <c r="D327" i="2"/>
  <c r="C327" i="2"/>
  <c r="B327" i="2"/>
  <c r="Q326" i="2"/>
  <c r="P326" i="2"/>
  <c r="O326" i="2"/>
  <c r="N326" i="2"/>
  <c r="M326" i="2"/>
  <c r="D326" i="2"/>
  <c r="C326" i="2"/>
  <c r="B326" i="2"/>
  <c r="Q325" i="2"/>
  <c r="P325" i="2"/>
  <c r="O325" i="2"/>
  <c r="N325" i="2"/>
  <c r="M325" i="2"/>
  <c r="D325" i="2"/>
  <c r="C325" i="2"/>
  <c r="B325" i="2"/>
  <c r="Q324" i="2"/>
  <c r="P324" i="2"/>
  <c r="O324" i="2"/>
  <c r="N324" i="2"/>
  <c r="M324" i="2"/>
  <c r="D324" i="2"/>
  <c r="C324" i="2"/>
  <c r="B324" i="2"/>
  <c r="Q323" i="2"/>
  <c r="P323" i="2"/>
  <c r="O323" i="2"/>
  <c r="N323" i="2"/>
  <c r="M323" i="2"/>
  <c r="D323" i="2"/>
  <c r="C323" i="2"/>
  <c r="B323" i="2"/>
  <c r="Q322" i="2"/>
  <c r="P322" i="2"/>
  <c r="O322" i="2"/>
  <c r="N322" i="2"/>
  <c r="M322" i="2"/>
  <c r="D322" i="2"/>
  <c r="C322" i="2"/>
  <c r="B322" i="2"/>
  <c r="Q321" i="2"/>
  <c r="P321" i="2"/>
  <c r="O321" i="2"/>
  <c r="N321" i="2"/>
  <c r="M321" i="2"/>
  <c r="D321" i="2"/>
  <c r="C321" i="2"/>
  <c r="B321" i="2"/>
  <c r="Q320" i="2"/>
  <c r="P320" i="2"/>
  <c r="O320" i="2"/>
  <c r="N320" i="2"/>
  <c r="M320" i="2"/>
  <c r="D320" i="2"/>
  <c r="C320" i="2"/>
  <c r="B320" i="2"/>
  <c r="Q319" i="2"/>
  <c r="P319" i="2"/>
  <c r="O319" i="2"/>
  <c r="N319" i="2"/>
  <c r="M319" i="2"/>
  <c r="D319" i="2"/>
  <c r="C319" i="2"/>
  <c r="B319" i="2"/>
  <c r="Q318" i="2"/>
  <c r="P318" i="2"/>
  <c r="O318" i="2"/>
  <c r="N318" i="2"/>
  <c r="M318" i="2"/>
  <c r="D318" i="2"/>
  <c r="C318" i="2"/>
  <c r="B318" i="2"/>
  <c r="Q317" i="2"/>
  <c r="P317" i="2"/>
  <c r="O317" i="2"/>
  <c r="N317" i="2"/>
  <c r="M317" i="2"/>
  <c r="D317" i="2"/>
  <c r="C317" i="2"/>
  <c r="B317" i="2"/>
  <c r="Q316" i="2"/>
  <c r="P316" i="2"/>
  <c r="O316" i="2"/>
  <c r="N316" i="2"/>
  <c r="M316" i="2"/>
  <c r="D316" i="2"/>
  <c r="C316" i="2"/>
  <c r="B316" i="2"/>
  <c r="Q315" i="2"/>
  <c r="P315" i="2"/>
  <c r="O315" i="2"/>
  <c r="N315" i="2"/>
  <c r="M315" i="2"/>
  <c r="D315" i="2"/>
  <c r="C315" i="2"/>
  <c r="B315" i="2"/>
  <c r="Q314" i="2"/>
  <c r="P314" i="2"/>
  <c r="O314" i="2"/>
  <c r="N314" i="2"/>
  <c r="M314" i="2"/>
  <c r="D314" i="2"/>
  <c r="C314" i="2"/>
  <c r="B314" i="2"/>
  <c r="Q313" i="2"/>
  <c r="P313" i="2"/>
  <c r="O313" i="2"/>
  <c r="N313" i="2"/>
  <c r="M313" i="2"/>
  <c r="D313" i="2"/>
  <c r="C313" i="2"/>
  <c r="B313" i="2"/>
  <c r="Q312" i="2"/>
  <c r="P312" i="2"/>
  <c r="O312" i="2"/>
  <c r="N312" i="2"/>
  <c r="M312" i="2"/>
  <c r="D312" i="2"/>
  <c r="C312" i="2"/>
  <c r="B312" i="2"/>
  <c r="Q311" i="2"/>
  <c r="P311" i="2"/>
  <c r="O311" i="2"/>
  <c r="N311" i="2"/>
  <c r="M311" i="2"/>
  <c r="D311" i="2"/>
  <c r="C311" i="2"/>
  <c r="B311" i="2"/>
  <c r="Q310" i="2"/>
  <c r="P310" i="2"/>
  <c r="O310" i="2"/>
  <c r="N310" i="2"/>
  <c r="M310" i="2"/>
  <c r="D310" i="2"/>
  <c r="C310" i="2"/>
  <c r="B310" i="2"/>
  <c r="Q309" i="2"/>
  <c r="P309" i="2"/>
  <c r="O309" i="2"/>
  <c r="N309" i="2"/>
  <c r="M309" i="2"/>
  <c r="D309" i="2"/>
  <c r="C309" i="2"/>
  <c r="B309" i="2"/>
  <c r="Q308" i="2"/>
  <c r="P308" i="2"/>
  <c r="O308" i="2"/>
  <c r="N308" i="2"/>
  <c r="M308" i="2"/>
  <c r="D308" i="2"/>
  <c r="C308" i="2"/>
  <c r="B308" i="2"/>
  <c r="Q307" i="2"/>
  <c r="P307" i="2"/>
  <c r="O307" i="2"/>
  <c r="N307" i="2"/>
  <c r="M307" i="2"/>
  <c r="D307" i="2"/>
  <c r="C307" i="2"/>
  <c r="B307" i="2"/>
  <c r="Q306" i="2"/>
  <c r="P306" i="2"/>
  <c r="O306" i="2"/>
  <c r="N306" i="2"/>
  <c r="M306" i="2"/>
  <c r="D306" i="2"/>
  <c r="C306" i="2"/>
  <c r="B306" i="2"/>
  <c r="Q305" i="2"/>
  <c r="P305" i="2"/>
  <c r="O305" i="2"/>
  <c r="N305" i="2"/>
  <c r="M305" i="2"/>
  <c r="D305" i="2"/>
  <c r="C305" i="2"/>
  <c r="B305" i="2"/>
  <c r="Q304" i="2"/>
  <c r="P304" i="2"/>
  <c r="O304" i="2"/>
  <c r="N304" i="2"/>
  <c r="M304" i="2"/>
  <c r="D304" i="2"/>
  <c r="C304" i="2"/>
  <c r="B304" i="2"/>
  <c r="Q303" i="2"/>
  <c r="P303" i="2"/>
  <c r="O303" i="2"/>
  <c r="N303" i="2"/>
  <c r="M303" i="2"/>
  <c r="D303" i="2"/>
  <c r="C303" i="2"/>
  <c r="B303" i="2"/>
  <c r="Q302" i="2"/>
  <c r="P302" i="2"/>
  <c r="O302" i="2"/>
  <c r="N302" i="2"/>
  <c r="M302" i="2"/>
  <c r="D302" i="2"/>
  <c r="C302" i="2"/>
  <c r="B302" i="2"/>
  <c r="Q301" i="2"/>
  <c r="P301" i="2"/>
  <c r="O301" i="2"/>
  <c r="N301" i="2"/>
  <c r="M301" i="2"/>
  <c r="D301" i="2"/>
  <c r="C301" i="2"/>
  <c r="B301" i="2"/>
  <c r="Q300" i="2"/>
  <c r="P300" i="2"/>
  <c r="O300" i="2"/>
  <c r="N300" i="2"/>
  <c r="M300" i="2"/>
  <c r="D300" i="2"/>
  <c r="C300" i="2"/>
  <c r="B300" i="2"/>
  <c r="Q299" i="2"/>
  <c r="P299" i="2"/>
  <c r="O299" i="2"/>
  <c r="N299" i="2"/>
  <c r="M299" i="2"/>
  <c r="D299" i="2"/>
  <c r="C299" i="2"/>
  <c r="B299" i="2"/>
  <c r="Q298" i="2"/>
  <c r="P298" i="2"/>
  <c r="O298" i="2"/>
  <c r="N298" i="2"/>
  <c r="M298" i="2"/>
  <c r="D298" i="2"/>
  <c r="C298" i="2"/>
  <c r="B298" i="2"/>
  <c r="Q297" i="2"/>
  <c r="P297" i="2"/>
  <c r="O297" i="2"/>
  <c r="N297" i="2"/>
  <c r="M297" i="2"/>
  <c r="D297" i="2"/>
  <c r="C297" i="2"/>
  <c r="B297" i="2"/>
  <c r="Q296" i="2"/>
  <c r="P296" i="2"/>
  <c r="O296" i="2"/>
  <c r="N296" i="2"/>
  <c r="M296" i="2"/>
  <c r="D296" i="2"/>
  <c r="C296" i="2"/>
  <c r="B296" i="2"/>
  <c r="Q295" i="2"/>
  <c r="P295" i="2"/>
  <c r="O295" i="2"/>
  <c r="N295" i="2"/>
  <c r="M295" i="2"/>
  <c r="D295" i="2"/>
  <c r="C295" i="2"/>
  <c r="B295" i="2"/>
  <c r="Q294" i="2"/>
  <c r="P294" i="2"/>
  <c r="O294" i="2"/>
  <c r="N294" i="2"/>
  <c r="M294" i="2"/>
  <c r="D294" i="2"/>
  <c r="C294" i="2"/>
  <c r="B294" i="2"/>
  <c r="Q293" i="2"/>
  <c r="P293" i="2"/>
  <c r="O293" i="2"/>
  <c r="N293" i="2"/>
  <c r="M293" i="2"/>
  <c r="D293" i="2"/>
  <c r="C293" i="2"/>
  <c r="B293" i="2"/>
  <c r="Q292" i="2"/>
  <c r="P292" i="2"/>
  <c r="O292" i="2"/>
  <c r="N292" i="2"/>
  <c r="M292" i="2"/>
  <c r="D292" i="2"/>
  <c r="C292" i="2"/>
  <c r="B292" i="2"/>
  <c r="Q291" i="2"/>
  <c r="P291" i="2"/>
  <c r="O291" i="2"/>
  <c r="N291" i="2"/>
  <c r="M291" i="2"/>
  <c r="D291" i="2"/>
  <c r="C291" i="2"/>
  <c r="B291" i="2"/>
  <c r="Q290" i="2"/>
  <c r="P290" i="2"/>
  <c r="O290" i="2"/>
  <c r="N290" i="2"/>
  <c r="M290" i="2"/>
  <c r="D290" i="2"/>
  <c r="C290" i="2"/>
  <c r="B290" i="2"/>
  <c r="Q289" i="2"/>
  <c r="P289" i="2"/>
  <c r="O289" i="2"/>
  <c r="N289" i="2"/>
  <c r="M289" i="2"/>
  <c r="D289" i="2"/>
  <c r="C289" i="2"/>
  <c r="B289" i="2"/>
  <c r="Q288" i="2"/>
  <c r="P288" i="2"/>
  <c r="O288" i="2"/>
  <c r="N288" i="2"/>
  <c r="M288" i="2"/>
  <c r="D288" i="2"/>
  <c r="C288" i="2"/>
  <c r="B288" i="2"/>
  <c r="Q287" i="2"/>
  <c r="P287" i="2"/>
  <c r="O287" i="2"/>
  <c r="N287" i="2"/>
  <c r="M287" i="2"/>
  <c r="D287" i="2"/>
  <c r="C287" i="2"/>
  <c r="B287" i="2"/>
  <c r="Q286" i="2"/>
  <c r="P286" i="2"/>
  <c r="O286" i="2"/>
  <c r="N286" i="2"/>
  <c r="M286" i="2"/>
  <c r="D286" i="2"/>
  <c r="C286" i="2"/>
  <c r="B286" i="2"/>
  <c r="Q285" i="2"/>
  <c r="P285" i="2"/>
  <c r="O285" i="2"/>
  <c r="N285" i="2"/>
  <c r="M285" i="2"/>
  <c r="D285" i="2"/>
  <c r="C285" i="2"/>
  <c r="B285" i="2"/>
  <c r="Q284" i="2"/>
  <c r="P284" i="2"/>
  <c r="O284" i="2"/>
  <c r="N284" i="2"/>
  <c r="M284" i="2"/>
  <c r="D284" i="2"/>
  <c r="C284" i="2"/>
  <c r="B284" i="2"/>
  <c r="Q283" i="2"/>
  <c r="P283" i="2"/>
  <c r="O283" i="2"/>
  <c r="N283" i="2"/>
  <c r="M283" i="2"/>
  <c r="D283" i="2"/>
  <c r="C283" i="2"/>
  <c r="B283" i="2"/>
  <c r="Q282" i="2"/>
  <c r="P282" i="2"/>
  <c r="O282" i="2"/>
  <c r="N282" i="2"/>
  <c r="M282" i="2"/>
  <c r="D282" i="2"/>
  <c r="C282" i="2"/>
  <c r="B282" i="2"/>
  <c r="Q281" i="2"/>
  <c r="P281" i="2"/>
  <c r="O281" i="2"/>
  <c r="N281" i="2"/>
  <c r="M281" i="2"/>
  <c r="D281" i="2"/>
  <c r="C281" i="2"/>
  <c r="B281" i="2"/>
  <c r="Q280" i="2"/>
  <c r="P280" i="2"/>
  <c r="O280" i="2"/>
  <c r="N280" i="2"/>
  <c r="M280" i="2"/>
  <c r="D280" i="2"/>
  <c r="C280" i="2"/>
  <c r="B280" i="2"/>
  <c r="Q279" i="2"/>
  <c r="P279" i="2"/>
  <c r="O279" i="2"/>
  <c r="N279" i="2"/>
  <c r="M279" i="2"/>
  <c r="D279" i="2"/>
  <c r="C279" i="2"/>
  <c r="B279" i="2"/>
  <c r="Q278" i="2"/>
  <c r="P278" i="2"/>
  <c r="O278" i="2"/>
  <c r="N278" i="2"/>
  <c r="M278" i="2"/>
  <c r="D278" i="2"/>
  <c r="C278" i="2"/>
  <c r="B278" i="2"/>
  <c r="Q277" i="2"/>
  <c r="P277" i="2"/>
  <c r="O277" i="2"/>
  <c r="N277" i="2"/>
  <c r="M277" i="2"/>
  <c r="D277" i="2"/>
  <c r="C277" i="2"/>
  <c r="B277" i="2"/>
  <c r="Q276" i="2"/>
  <c r="P276" i="2"/>
  <c r="O276" i="2"/>
  <c r="N276" i="2"/>
  <c r="M276" i="2"/>
  <c r="D276" i="2"/>
  <c r="C276" i="2"/>
  <c r="B276" i="2"/>
  <c r="Q275" i="2"/>
  <c r="P275" i="2"/>
  <c r="O275" i="2"/>
  <c r="N275" i="2"/>
  <c r="M275" i="2"/>
  <c r="D275" i="2"/>
  <c r="C275" i="2"/>
  <c r="B275" i="2"/>
  <c r="Q274" i="2"/>
  <c r="P274" i="2"/>
  <c r="O274" i="2"/>
  <c r="N274" i="2"/>
  <c r="M274" i="2"/>
  <c r="D274" i="2"/>
  <c r="C274" i="2"/>
  <c r="B274" i="2"/>
  <c r="Q273" i="2"/>
  <c r="P273" i="2"/>
  <c r="O273" i="2"/>
  <c r="N273" i="2"/>
  <c r="M273" i="2"/>
  <c r="D273" i="2"/>
  <c r="C273" i="2"/>
  <c r="B273" i="2"/>
  <c r="Q272" i="2"/>
  <c r="P272" i="2"/>
  <c r="O272" i="2"/>
  <c r="N272" i="2"/>
  <c r="M272" i="2"/>
  <c r="D272" i="2"/>
  <c r="C272" i="2"/>
  <c r="B272" i="2"/>
  <c r="Q271" i="2"/>
  <c r="P271" i="2"/>
  <c r="O271" i="2"/>
  <c r="N271" i="2"/>
  <c r="M271" i="2"/>
  <c r="D271" i="2"/>
  <c r="C271" i="2"/>
  <c r="B271" i="2"/>
  <c r="Q270" i="2"/>
  <c r="P270" i="2"/>
  <c r="O270" i="2"/>
  <c r="N270" i="2"/>
  <c r="M270" i="2"/>
  <c r="D270" i="2"/>
  <c r="C270" i="2"/>
  <c r="B270" i="2"/>
  <c r="Q269" i="2"/>
  <c r="P269" i="2"/>
  <c r="O269" i="2"/>
  <c r="N269" i="2"/>
  <c r="M269" i="2"/>
  <c r="D269" i="2"/>
  <c r="C269" i="2"/>
  <c r="B269" i="2"/>
  <c r="Q268" i="2"/>
  <c r="P268" i="2"/>
  <c r="O268" i="2"/>
  <c r="N268" i="2"/>
  <c r="M268" i="2"/>
  <c r="D268" i="2"/>
  <c r="C268" i="2"/>
  <c r="B268" i="2"/>
  <c r="Q267" i="2"/>
  <c r="P267" i="2"/>
  <c r="O267" i="2"/>
  <c r="N267" i="2"/>
  <c r="M267" i="2"/>
  <c r="D267" i="2"/>
  <c r="C267" i="2"/>
  <c r="B267" i="2"/>
  <c r="Q266" i="2"/>
  <c r="P266" i="2"/>
  <c r="O266" i="2"/>
  <c r="N266" i="2"/>
  <c r="M266" i="2"/>
  <c r="D266" i="2"/>
  <c r="C266" i="2"/>
  <c r="B266" i="2"/>
  <c r="Q265" i="2"/>
  <c r="P265" i="2"/>
  <c r="O265" i="2"/>
  <c r="N265" i="2"/>
  <c r="M265" i="2"/>
  <c r="D265" i="2"/>
  <c r="C265" i="2"/>
  <c r="B265" i="2"/>
  <c r="Q264" i="2"/>
  <c r="P264" i="2"/>
  <c r="O264" i="2"/>
  <c r="N264" i="2"/>
  <c r="M264" i="2"/>
  <c r="D264" i="2"/>
  <c r="C264" i="2"/>
  <c r="B264" i="2"/>
  <c r="Q263" i="2"/>
  <c r="P263" i="2"/>
  <c r="O263" i="2"/>
  <c r="N263" i="2"/>
  <c r="M263" i="2"/>
  <c r="D263" i="2"/>
  <c r="C263" i="2"/>
  <c r="B263" i="2"/>
  <c r="Q262" i="2"/>
  <c r="P262" i="2"/>
  <c r="O262" i="2"/>
  <c r="N262" i="2"/>
  <c r="M262" i="2"/>
  <c r="D262" i="2"/>
  <c r="C262" i="2"/>
  <c r="B262" i="2"/>
  <c r="Q261" i="2"/>
  <c r="P261" i="2"/>
  <c r="O261" i="2"/>
  <c r="N261" i="2"/>
  <c r="M261" i="2"/>
  <c r="D261" i="2"/>
  <c r="C261" i="2"/>
  <c r="B261" i="2"/>
  <c r="Q260" i="2"/>
  <c r="P260" i="2"/>
  <c r="O260" i="2"/>
  <c r="N260" i="2"/>
  <c r="M260" i="2"/>
  <c r="D260" i="2"/>
  <c r="C260" i="2"/>
  <c r="B260" i="2"/>
  <c r="Q259" i="2"/>
  <c r="P259" i="2"/>
  <c r="O259" i="2"/>
  <c r="N259" i="2"/>
  <c r="M259" i="2"/>
  <c r="D259" i="2"/>
  <c r="C259" i="2"/>
  <c r="B259" i="2"/>
  <c r="Q258" i="2"/>
  <c r="P258" i="2"/>
  <c r="O258" i="2"/>
  <c r="N258" i="2"/>
  <c r="M258" i="2"/>
  <c r="D258" i="2"/>
  <c r="C258" i="2"/>
  <c r="B258" i="2"/>
  <c r="Q257" i="2"/>
  <c r="P257" i="2"/>
  <c r="O257" i="2"/>
  <c r="N257" i="2"/>
  <c r="M257" i="2"/>
  <c r="D257" i="2"/>
  <c r="C257" i="2"/>
  <c r="B257" i="2"/>
  <c r="Q256" i="2"/>
  <c r="P256" i="2"/>
  <c r="O256" i="2"/>
  <c r="N256" i="2"/>
  <c r="M256" i="2"/>
  <c r="D256" i="2"/>
  <c r="C256" i="2"/>
  <c r="B256" i="2"/>
  <c r="Q255" i="2"/>
  <c r="P255" i="2"/>
  <c r="O255" i="2"/>
  <c r="N255" i="2"/>
  <c r="M255" i="2"/>
  <c r="D255" i="2"/>
  <c r="C255" i="2"/>
  <c r="B255" i="2"/>
  <c r="Q254" i="2"/>
  <c r="P254" i="2"/>
  <c r="O254" i="2"/>
  <c r="N254" i="2"/>
  <c r="M254" i="2"/>
  <c r="D254" i="2"/>
  <c r="C254" i="2"/>
  <c r="B254" i="2"/>
  <c r="Q253" i="2"/>
  <c r="P253" i="2"/>
  <c r="O253" i="2"/>
  <c r="N253" i="2"/>
  <c r="M253" i="2"/>
  <c r="D253" i="2"/>
  <c r="C253" i="2"/>
  <c r="B253" i="2"/>
  <c r="Q252" i="2"/>
  <c r="P252" i="2"/>
  <c r="O252" i="2"/>
  <c r="N252" i="2"/>
  <c r="M252" i="2"/>
  <c r="D252" i="2"/>
  <c r="C252" i="2"/>
  <c r="B252" i="2"/>
  <c r="Q251" i="2"/>
  <c r="P251" i="2"/>
  <c r="O251" i="2"/>
  <c r="N251" i="2"/>
  <c r="M251" i="2"/>
  <c r="D251" i="2"/>
  <c r="C251" i="2"/>
  <c r="B251" i="2"/>
  <c r="Q250" i="2"/>
  <c r="P250" i="2"/>
  <c r="O250" i="2"/>
  <c r="N250" i="2"/>
  <c r="M250" i="2"/>
  <c r="D250" i="2"/>
  <c r="C250" i="2"/>
  <c r="B250" i="2"/>
  <c r="Q249" i="2"/>
  <c r="P249" i="2"/>
  <c r="O249" i="2"/>
  <c r="N249" i="2"/>
  <c r="M249" i="2"/>
  <c r="D249" i="2"/>
  <c r="C249" i="2"/>
  <c r="B249" i="2"/>
  <c r="Q248" i="2"/>
  <c r="P248" i="2"/>
  <c r="O248" i="2"/>
  <c r="N248" i="2"/>
  <c r="M248" i="2"/>
  <c r="D248" i="2"/>
  <c r="C248" i="2"/>
  <c r="B248" i="2"/>
  <c r="Q247" i="2"/>
  <c r="P247" i="2"/>
  <c r="O247" i="2"/>
  <c r="N247" i="2"/>
  <c r="M247" i="2"/>
  <c r="D247" i="2"/>
  <c r="C247" i="2"/>
  <c r="B247" i="2"/>
  <c r="Q246" i="2"/>
  <c r="P246" i="2"/>
  <c r="O246" i="2"/>
  <c r="N246" i="2"/>
  <c r="M246" i="2"/>
  <c r="D246" i="2"/>
  <c r="C246" i="2"/>
  <c r="B246" i="2"/>
  <c r="Q245" i="2"/>
  <c r="P245" i="2"/>
  <c r="O245" i="2"/>
  <c r="N245" i="2"/>
  <c r="M245" i="2"/>
  <c r="D245" i="2"/>
  <c r="C245" i="2"/>
  <c r="B245" i="2"/>
  <c r="Q244" i="2"/>
  <c r="P244" i="2"/>
  <c r="O244" i="2"/>
  <c r="N244" i="2"/>
  <c r="M244" i="2"/>
  <c r="D244" i="2"/>
  <c r="C244" i="2"/>
  <c r="B244" i="2"/>
  <c r="Q243" i="2"/>
  <c r="P243" i="2"/>
  <c r="O243" i="2"/>
  <c r="N243" i="2"/>
  <c r="M243" i="2"/>
  <c r="D243" i="2"/>
  <c r="C243" i="2"/>
  <c r="B243" i="2"/>
  <c r="Q242" i="2"/>
  <c r="P242" i="2"/>
  <c r="O242" i="2"/>
  <c r="N242" i="2"/>
  <c r="M242" i="2"/>
  <c r="D242" i="2"/>
  <c r="C242" i="2"/>
  <c r="B242" i="2"/>
  <c r="Q241" i="2"/>
  <c r="P241" i="2"/>
  <c r="O241" i="2"/>
  <c r="N241" i="2"/>
  <c r="M241" i="2"/>
  <c r="D241" i="2"/>
  <c r="C241" i="2"/>
  <c r="B241" i="2"/>
  <c r="Q240" i="2"/>
  <c r="P240" i="2"/>
  <c r="O240" i="2"/>
  <c r="N240" i="2"/>
  <c r="M240" i="2"/>
  <c r="D240" i="2"/>
  <c r="C240" i="2"/>
  <c r="B240" i="2"/>
  <c r="Q239" i="2"/>
  <c r="P239" i="2"/>
  <c r="O239" i="2"/>
  <c r="N239" i="2"/>
  <c r="M239" i="2"/>
  <c r="D239" i="2"/>
  <c r="C239" i="2"/>
  <c r="B239" i="2"/>
  <c r="Q238" i="2"/>
  <c r="P238" i="2"/>
  <c r="O238" i="2"/>
  <c r="N238" i="2"/>
  <c r="M238" i="2"/>
  <c r="D238" i="2"/>
  <c r="C238" i="2"/>
  <c r="B238" i="2"/>
  <c r="Q237" i="2"/>
  <c r="P237" i="2"/>
  <c r="O237" i="2"/>
  <c r="N237" i="2"/>
  <c r="M237" i="2"/>
  <c r="D237" i="2"/>
  <c r="C237" i="2"/>
  <c r="B237" i="2"/>
  <c r="Q236" i="2"/>
  <c r="P236" i="2"/>
  <c r="O236" i="2"/>
  <c r="N236" i="2"/>
  <c r="M236" i="2"/>
  <c r="D236" i="2"/>
  <c r="C236" i="2"/>
  <c r="B236" i="2"/>
  <c r="Q235" i="2"/>
  <c r="P235" i="2"/>
  <c r="O235" i="2"/>
  <c r="N235" i="2"/>
  <c r="M235" i="2"/>
  <c r="D235" i="2"/>
  <c r="C235" i="2"/>
  <c r="B235" i="2"/>
  <c r="Q234" i="2"/>
  <c r="P234" i="2"/>
  <c r="O234" i="2"/>
  <c r="N234" i="2"/>
  <c r="M234" i="2"/>
  <c r="D234" i="2"/>
  <c r="C234" i="2"/>
  <c r="B234" i="2"/>
  <c r="Q233" i="2"/>
  <c r="P233" i="2"/>
  <c r="O233" i="2"/>
  <c r="N233" i="2"/>
  <c r="M233" i="2"/>
  <c r="D233" i="2"/>
  <c r="C233" i="2"/>
  <c r="B233" i="2"/>
  <c r="Q232" i="2"/>
  <c r="P232" i="2"/>
  <c r="O232" i="2"/>
  <c r="N232" i="2"/>
  <c r="M232" i="2"/>
  <c r="D232" i="2"/>
  <c r="C232" i="2"/>
  <c r="B232" i="2"/>
  <c r="Q231" i="2"/>
  <c r="P231" i="2"/>
  <c r="O231" i="2"/>
  <c r="N231" i="2"/>
  <c r="M231" i="2"/>
  <c r="D231" i="2"/>
  <c r="C231" i="2"/>
  <c r="B231" i="2"/>
  <c r="Q230" i="2"/>
  <c r="P230" i="2"/>
  <c r="O230" i="2"/>
  <c r="N230" i="2"/>
  <c r="M230" i="2"/>
  <c r="D230" i="2"/>
  <c r="C230" i="2"/>
  <c r="B230" i="2"/>
  <c r="Q229" i="2"/>
  <c r="P229" i="2"/>
  <c r="O229" i="2"/>
  <c r="N229" i="2"/>
  <c r="M229" i="2"/>
  <c r="D229" i="2"/>
  <c r="C229" i="2"/>
  <c r="B229" i="2"/>
  <c r="Q228" i="2"/>
  <c r="P228" i="2"/>
  <c r="O228" i="2"/>
  <c r="N228" i="2"/>
  <c r="M228" i="2"/>
  <c r="D228" i="2"/>
  <c r="C228" i="2"/>
  <c r="B228" i="2"/>
  <c r="Q227" i="2"/>
  <c r="P227" i="2"/>
  <c r="O227" i="2"/>
  <c r="N227" i="2"/>
  <c r="M227" i="2"/>
  <c r="D227" i="2"/>
  <c r="C227" i="2"/>
  <c r="B227" i="2"/>
  <c r="Q226" i="2"/>
  <c r="P226" i="2"/>
  <c r="O226" i="2"/>
  <c r="N226" i="2"/>
  <c r="M226" i="2"/>
  <c r="D226" i="2"/>
  <c r="C226" i="2"/>
  <c r="B226" i="2"/>
  <c r="Q225" i="2"/>
  <c r="P225" i="2"/>
  <c r="O225" i="2"/>
  <c r="N225" i="2"/>
  <c r="M225" i="2"/>
  <c r="D225" i="2"/>
  <c r="C225" i="2"/>
  <c r="B225" i="2"/>
  <c r="Q224" i="2"/>
  <c r="P224" i="2"/>
  <c r="O224" i="2"/>
  <c r="N224" i="2"/>
  <c r="M224" i="2"/>
  <c r="D224" i="2"/>
  <c r="C224" i="2"/>
  <c r="B224" i="2"/>
  <c r="Q223" i="2"/>
  <c r="P223" i="2"/>
  <c r="O223" i="2"/>
  <c r="N223" i="2"/>
  <c r="M223" i="2"/>
  <c r="D223" i="2"/>
  <c r="C223" i="2"/>
  <c r="B223" i="2"/>
  <c r="Q222" i="2"/>
  <c r="P222" i="2"/>
  <c r="O222" i="2"/>
  <c r="N222" i="2"/>
  <c r="M222" i="2"/>
  <c r="D222" i="2"/>
  <c r="C222" i="2"/>
  <c r="B222" i="2"/>
  <c r="Q221" i="2"/>
  <c r="P221" i="2"/>
  <c r="O221" i="2"/>
  <c r="N221" i="2"/>
  <c r="M221" i="2"/>
  <c r="D221" i="2"/>
  <c r="C221" i="2"/>
  <c r="B221" i="2"/>
  <c r="Q220" i="2"/>
  <c r="P220" i="2"/>
  <c r="O220" i="2"/>
  <c r="N220" i="2"/>
  <c r="M220" i="2"/>
  <c r="D220" i="2"/>
  <c r="C220" i="2"/>
  <c r="B220" i="2"/>
  <c r="Q219" i="2"/>
  <c r="P219" i="2"/>
  <c r="O219" i="2"/>
  <c r="N219" i="2"/>
  <c r="M219" i="2"/>
  <c r="D219" i="2"/>
  <c r="C219" i="2"/>
  <c r="B219" i="2"/>
  <c r="Q218" i="2"/>
  <c r="P218" i="2"/>
  <c r="O218" i="2"/>
  <c r="N218" i="2"/>
  <c r="M218" i="2"/>
  <c r="D218" i="2"/>
  <c r="C218" i="2"/>
  <c r="B218" i="2"/>
  <c r="Q217" i="2"/>
  <c r="P217" i="2"/>
  <c r="O217" i="2"/>
  <c r="N217" i="2"/>
  <c r="M217" i="2"/>
  <c r="D217" i="2"/>
  <c r="C217" i="2"/>
  <c r="B217" i="2"/>
  <c r="Q216" i="2"/>
  <c r="P216" i="2"/>
  <c r="O216" i="2"/>
  <c r="N216" i="2"/>
  <c r="M216" i="2"/>
  <c r="D216" i="2"/>
  <c r="C216" i="2"/>
  <c r="B216" i="2"/>
  <c r="Q215" i="2"/>
  <c r="P215" i="2"/>
  <c r="O215" i="2"/>
  <c r="N215" i="2"/>
  <c r="M215" i="2"/>
  <c r="D215" i="2"/>
  <c r="C215" i="2"/>
  <c r="B215" i="2"/>
  <c r="Q214" i="2"/>
  <c r="P214" i="2"/>
  <c r="O214" i="2"/>
  <c r="N214" i="2"/>
  <c r="M214" i="2"/>
  <c r="D214" i="2"/>
  <c r="C214" i="2"/>
  <c r="B214" i="2"/>
  <c r="Q213" i="2"/>
  <c r="P213" i="2"/>
  <c r="O213" i="2"/>
  <c r="N213" i="2"/>
  <c r="M213" i="2"/>
  <c r="D213" i="2"/>
  <c r="C213" i="2"/>
  <c r="B213" i="2"/>
  <c r="Q212" i="2"/>
  <c r="P212" i="2"/>
  <c r="O212" i="2"/>
  <c r="N212" i="2"/>
  <c r="M212" i="2"/>
  <c r="D212" i="2"/>
  <c r="C212" i="2"/>
  <c r="B212" i="2"/>
  <c r="Q211" i="2"/>
  <c r="P211" i="2"/>
  <c r="O211" i="2"/>
  <c r="N211" i="2"/>
  <c r="M211" i="2"/>
  <c r="D211" i="2"/>
  <c r="C211" i="2"/>
  <c r="B211" i="2"/>
  <c r="Q210" i="2"/>
  <c r="P210" i="2"/>
  <c r="O210" i="2"/>
  <c r="N210" i="2"/>
  <c r="M210" i="2"/>
  <c r="D210" i="2"/>
  <c r="C210" i="2"/>
  <c r="B210" i="2"/>
  <c r="Q209" i="2"/>
  <c r="P209" i="2"/>
  <c r="O209" i="2"/>
  <c r="N209" i="2"/>
  <c r="M209" i="2"/>
  <c r="D209" i="2"/>
  <c r="C209" i="2"/>
  <c r="B209" i="2"/>
  <c r="Q208" i="2"/>
  <c r="P208" i="2"/>
  <c r="O208" i="2"/>
  <c r="N208" i="2"/>
  <c r="M208" i="2"/>
  <c r="D208" i="2"/>
  <c r="C208" i="2"/>
  <c r="B208" i="2"/>
  <c r="Q207" i="2"/>
  <c r="P207" i="2"/>
  <c r="O207" i="2"/>
  <c r="N207" i="2"/>
  <c r="M207" i="2"/>
  <c r="D207" i="2"/>
  <c r="C207" i="2"/>
  <c r="B207" i="2"/>
  <c r="Q206" i="2"/>
  <c r="P206" i="2"/>
  <c r="O206" i="2"/>
  <c r="N206" i="2"/>
  <c r="M206" i="2"/>
  <c r="D206" i="2"/>
  <c r="C206" i="2"/>
  <c r="B206" i="2"/>
  <c r="Q205" i="2"/>
  <c r="P205" i="2"/>
  <c r="O205" i="2"/>
  <c r="N205" i="2"/>
  <c r="M205" i="2"/>
  <c r="D205" i="2"/>
  <c r="C205" i="2"/>
  <c r="B205" i="2"/>
  <c r="Q204" i="2"/>
  <c r="P204" i="2"/>
  <c r="O204" i="2"/>
  <c r="N204" i="2"/>
  <c r="M204" i="2"/>
  <c r="D204" i="2"/>
  <c r="C204" i="2"/>
  <c r="B204" i="2"/>
  <c r="Q203" i="2"/>
  <c r="P203" i="2"/>
  <c r="O203" i="2"/>
  <c r="N203" i="2"/>
  <c r="M203" i="2"/>
  <c r="D203" i="2"/>
  <c r="C203" i="2"/>
  <c r="B203" i="2"/>
  <c r="Q202" i="2"/>
  <c r="P202" i="2"/>
  <c r="O202" i="2"/>
  <c r="N202" i="2"/>
  <c r="M202" i="2"/>
  <c r="D202" i="2"/>
  <c r="C202" i="2"/>
  <c r="B202" i="2"/>
  <c r="Q201" i="2"/>
  <c r="P201" i="2"/>
  <c r="O201" i="2"/>
  <c r="N201" i="2"/>
  <c r="M201" i="2"/>
  <c r="D201" i="2"/>
  <c r="C201" i="2"/>
  <c r="B201" i="2"/>
  <c r="Q200" i="2"/>
  <c r="P200" i="2"/>
  <c r="O200" i="2"/>
  <c r="N200" i="2"/>
  <c r="M200" i="2"/>
  <c r="D200" i="2"/>
  <c r="C200" i="2"/>
  <c r="B200" i="2"/>
  <c r="Q199" i="2"/>
  <c r="P199" i="2"/>
  <c r="O199" i="2"/>
  <c r="N199" i="2"/>
  <c r="M199" i="2"/>
  <c r="D199" i="2"/>
  <c r="C199" i="2"/>
  <c r="B199" i="2"/>
  <c r="Q198" i="2"/>
  <c r="P198" i="2"/>
  <c r="O198" i="2"/>
  <c r="N198" i="2"/>
  <c r="M198" i="2"/>
  <c r="D198" i="2"/>
  <c r="C198" i="2"/>
  <c r="B198" i="2"/>
  <c r="Q197" i="2"/>
  <c r="P197" i="2"/>
  <c r="O197" i="2"/>
  <c r="N197" i="2"/>
  <c r="M197" i="2"/>
  <c r="D197" i="2"/>
  <c r="C197" i="2"/>
  <c r="B197" i="2"/>
  <c r="Q196" i="2"/>
  <c r="P196" i="2"/>
  <c r="O196" i="2"/>
  <c r="N196" i="2"/>
  <c r="M196" i="2"/>
  <c r="D196" i="2"/>
  <c r="C196" i="2"/>
  <c r="B196" i="2"/>
  <c r="Q195" i="2"/>
  <c r="P195" i="2"/>
  <c r="O195" i="2"/>
  <c r="N195" i="2"/>
  <c r="M195" i="2"/>
  <c r="D195" i="2"/>
  <c r="C195" i="2"/>
  <c r="B195" i="2"/>
  <c r="Q194" i="2"/>
  <c r="P194" i="2"/>
  <c r="O194" i="2"/>
  <c r="N194" i="2"/>
  <c r="M194" i="2"/>
  <c r="D194" i="2"/>
  <c r="C194" i="2"/>
  <c r="B194" i="2"/>
  <c r="Q193" i="2"/>
  <c r="P193" i="2"/>
  <c r="O193" i="2"/>
  <c r="N193" i="2"/>
  <c r="M193" i="2"/>
  <c r="D193" i="2"/>
  <c r="C193" i="2"/>
  <c r="B193" i="2"/>
  <c r="Q192" i="2"/>
  <c r="P192" i="2"/>
  <c r="O192" i="2"/>
  <c r="N192" i="2"/>
  <c r="M192" i="2"/>
  <c r="D192" i="2"/>
  <c r="C192" i="2"/>
  <c r="B192" i="2"/>
  <c r="Q191" i="2"/>
  <c r="P191" i="2"/>
  <c r="O191" i="2"/>
  <c r="N191" i="2"/>
  <c r="M191" i="2"/>
  <c r="D191" i="2"/>
  <c r="C191" i="2"/>
  <c r="B191" i="2"/>
  <c r="Q190" i="2"/>
  <c r="P190" i="2"/>
  <c r="O190" i="2"/>
  <c r="N190" i="2"/>
  <c r="M190" i="2"/>
  <c r="D190" i="2"/>
  <c r="C190" i="2"/>
  <c r="B190" i="2"/>
  <c r="Q189" i="2"/>
  <c r="P189" i="2"/>
  <c r="O189" i="2"/>
  <c r="N189" i="2"/>
  <c r="M189" i="2"/>
  <c r="D189" i="2"/>
  <c r="C189" i="2"/>
  <c r="B189" i="2"/>
  <c r="Q188" i="2"/>
  <c r="P188" i="2"/>
  <c r="O188" i="2"/>
  <c r="N188" i="2"/>
  <c r="M188" i="2"/>
  <c r="D188" i="2"/>
  <c r="C188" i="2"/>
  <c r="B188" i="2"/>
  <c r="Q187" i="2"/>
  <c r="P187" i="2"/>
  <c r="O187" i="2"/>
  <c r="N187" i="2"/>
  <c r="M187" i="2"/>
  <c r="D187" i="2"/>
  <c r="C187" i="2"/>
  <c r="B187" i="2"/>
  <c r="Q186" i="2"/>
  <c r="P186" i="2"/>
  <c r="O186" i="2"/>
  <c r="N186" i="2"/>
  <c r="M186" i="2"/>
  <c r="D186" i="2"/>
  <c r="C186" i="2"/>
  <c r="B186" i="2"/>
  <c r="Q185" i="2"/>
  <c r="P185" i="2"/>
  <c r="O185" i="2"/>
  <c r="N185" i="2"/>
  <c r="M185" i="2"/>
  <c r="D185" i="2"/>
  <c r="C185" i="2"/>
  <c r="B185" i="2"/>
  <c r="Q184" i="2"/>
  <c r="P184" i="2"/>
  <c r="O184" i="2"/>
  <c r="N184" i="2"/>
  <c r="M184" i="2"/>
  <c r="D184" i="2"/>
  <c r="C184" i="2"/>
  <c r="B184" i="2"/>
  <c r="Q183" i="2"/>
  <c r="P183" i="2"/>
  <c r="O183" i="2"/>
  <c r="N183" i="2"/>
  <c r="M183" i="2"/>
  <c r="D183" i="2"/>
  <c r="C183" i="2"/>
  <c r="B183" i="2"/>
  <c r="Q182" i="2"/>
  <c r="P182" i="2"/>
  <c r="O182" i="2"/>
  <c r="N182" i="2"/>
  <c r="M182" i="2"/>
  <c r="D182" i="2"/>
  <c r="C182" i="2"/>
  <c r="B182" i="2"/>
  <c r="Q181" i="2"/>
  <c r="P181" i="2"/>
  <c r="O181" i="2"/>
  <c r="N181" i="2"/>
  <c r="M181" i="2"/>
  <c r="D181" i="2"/>
  <c r="C181" i="2"/>
  <c r="B181" i="2"/>
  <c r="Q180" i="2"/>
  <c r="P180" i="2"/>
  <c r="O180" i="2"/>
  <c r="N180" i="2"/>
  <c r="M180" i="2"/>
  <c r="D180" i="2"/>
  <c r="C180" i="2"/>
  <c r="B180" i="2"/>
  <c r="Q179" i="2"/>
  <c r="P179" i="2"/>
  <c r="O179" i="2"/>
  <c r="N179" i="2"/>
  <c r="M179" i="2"/>
  <c r="D179" i="2"/>
  <c r="C179" i="2"/>
  <c r="B179" i="2"/>
  <c r="Q178" i="2"/>
  <c r="P178" i="2"/>
  <c r="O178" i="2"/>
  <c r="N178" i="2"/>
  <c r="M178" i="2"/>
  <c r="D178" i="2"/>
  <c r="C178" i="2"/>
  <c r="B178" i="2"/>
  <c r="Q177" i="2"/>
  <c r="P177" i="2"/>
  <c r="O177" i="2"/>
  <c r="N177" i="2"/>
  <c r="M177" i="2"/>
  <c r="D177" i="2"/>
  <c r="C177" i="2"/>
  <c r="B177" i="2"/>
  <c r="Q176" i="2"/>
  <c r="P176" i="2"/>
  <c r="O176" i="2"/>
  <c r="N176" i="2"/>
  <c r="M176" i="2"/>
  <c r="D176" i="2"/>
  <c r="C176" i="2"/>
  <c r="B176" i="2"/>
  <c r="Q175" i="2"/>
  <c r="P175" i="2"/>
  <c r="O175" i="2"/>
  <c r="N175" i="2"/>
  <c r="M175" i="2"/>
  <c r="D175" i="2"/>
  <c r="C175" i="2"/>
  <c r="B175" i="2"/>
  <c r="Q174" i="2"/>
  <c r="P174" i="2"/>
  <c r="O174" i="2"/>
  <c r="N174" i="2"/>
  <c r="M174" i="2"/>
  <c r="D174" i="2"/>
  <c r="C174" i="2"/>
  <c r="B174" i="2"/>
  <c r="Q173" i="2"/>
  <c r="P173" i="2"/>
  <c r="O173" i="2"/>
  <c r="N173" i="2"/>
  <c r="M173" i="2"/>
  <c r="D173" i="2"/>
  <c r="C173" i="2"/>
  <c r="B173" i="2"/>
  <c r="Q172" i="2"/>
  <c r="P172" i="2"/>
  <c r="O172" i="2"/>
  <c r="N172" i="2"/>
  <c r="M172" i="2"/>
  <c r="D172" i="2"/>
  <c r="C172" i="2"/>
  <c r="B172" i="2"/>
  <c r="Q171" i="2"/>
  <c r="P171" i="2"/>
  <c r="O171" i="2"/>
  <c r="N171" i="2"/>
  <c r="M171" i="2"/>
  <c r="D171" i="2"/>
  <c r="C171" i="2"/>
  <c r="B171" i="2"/>
  <c r="Q170" i="2"/>
  <c r="P170" i="2"/>
  <c r="O170" i="2"/>
  <c r="N170" i="2"/>
  <c r="M170" i="2"/>
  <c r="D170" i="2"/>
  <c r="C170" i="2"/>
  <c r="B170" i="2"/>
  <c r="Q169" i="2"/>
  <c r="P169" i="2"/>
  <c r="O169" i="2"/>
  <c r="N169" i="2"/>
  <c r="M169" i="2"/>
  <c r="D169" i="2"/>
  <c r="C169" i="2"/>
  <c r="B169" i="2"/>
  <c r="Q168" i="2"/>
  <c r="P168" i="2"/>
  <c r="O168" i="2"/>
  <c r="N168" i="2"/>
  <c r="M168" i="2"/>
  <c r="D168" i="2"/>
  <c r="C168" i="2"/>
  <c r="B168" i="2"/>
  <c r="Q167" i="2"/>
  <c r="P167" i="2"/>
  <c r="O167" i="2"/>
  <c r="N167" i="2"/>
  <c r="M167" i="2"/>
  <c r="D167" i="2"/>
  <c r="C167" i="2"/>
  <c r="B167" i="2"/>
  <c r="Q166" i="2"/>
  <c r="P166" i="2"/>
  <c r="O166" i="2"/>
  <c r="N166" i="2"/>
  <c r="M166" i="2"/>
  <c r="D166" i="2"/>
  <c r="C166" i="2"/>
  <c r="B166" i="2"/>
  <c r="Q165" i="2"/>
  <c r="P165" i="2"/>
  <c r="O165" i="2"/>
  <c r="N165" i="2"/>
  <c r="M165" i="2"/>
  <c r="D165" i="2"/>
  <c r="C165" i="2"/>
  <c r="B165" i="2"/>
  <c r="Q164" i="2"/>
  <c r="P164" i="2"/>
  <c r="O164" i="2"/>
  <c r="N164" i="2"/>
  <c r="M164" i="2"/>
  <c r="D164" i="2"/>
  <c r="C164" i="2"/>
  <c r="B164" i="2"/>
  <c r="Q163" i="2"/>
  <c r="P163" i="2"/>
  <c r="O163" i="2"/>
  <c r="N163" i="2"/>
  <c r="M163" i="2"/>
  <c r="D163" i="2"/>
  <c r="C163" i="2"/>
  <c r="B163" i="2"/>
  <c r="Q162" i="2"/>
  <c r="P162" i="2"/>
  <c r="O162" i="2"/>
  <c r="N162" i="2"/>
  <c r="M162" i="2"/>
  <c r="D162" i="2"/>
  <c r="C162" i="2"/>
  <c r="B162" i="2"/>
  <c r="Q161" i="2"/>
  <c r="P161" i="2"/>
  <c r="O161" i="2"/>
  <c r="N161" i="2"/>
  <c r="M161" i="2"/>
  <c r="D161" i="2"/>
  <c r="C161" i="2"/>
  <c r="B161" i="2"/>
  <c r="Q160" i="2"/>
  <c r="P160" i="2"/>
  <c r="O160" i="2"/>
  <c r="N160" i="2"/>
  <c r="M160" i="2"/>
  <c r="D160" i="2"/>
  <c r="C160" i="2"/>
  <c r="B160" i="2"/>
  <c r="Q159" i="2"/>
  <c r="P159" i="2"/>
  <c r="O159" i="2"/>
  <c r="N159" i="2"/>
  <c r="M159" i="2"/>
  <c r="D159" i="2"/>
  <c r="C159" i="2"/>
  <c r="B159" i="2"/>
  <c r="Q158" i="2"/>
  <c r="P158" i="2"/>
  <c r="O158" i="2"/>
  <c r="N158" i="2"/>
  <c r="M158" i="2"/>
  <c r="D158" i="2"/>
  <c r="C158" i="2"/>
  <c r="B158" i="2"/>
  <c r="Q157" i="2"/>
  <c r="P157" i="2"/>
  <c r="O157" i="2"/>
  <c r="N157" i="2"/>
  <c r="M157" i="2"/>
  <c r="D157" i="2"/>
  <c r="C157" i="2"/>
  <c r="B157" i="2"/>
  <c r="Q156" i="2"/>
  <c r="P156" i="2"/>
  <c r="O156" i="2"/>
  <c r="N156" i="2"/>
  <c r="M156" i="2"/>
  <c r="D156" i="2"/>
  <c r="C156" i="2"/>
  <c r="B156" i="2"/>
  <c r="Q155" i="2"/>
  <c r="P155" i="2"/>
  <c r="O155" i="2"/>
  <c r="N155" i="2"/>
  <c r="M155" i="2"/>
  <c r="D155" i="2"/>
  <c r="C155" i="2"/>
  <c r="B155" i="2"/>
  <c r="Q154" i="2"/>
  <c r="P154" i="2"/>
  <c r="O154" i="2"/>
  <c r="N154" i="2"/>
  <c r="M154" i="2"/>
  <c r="D154" i="2"/>
  <c r="C154" i="2"/>
  <c r="B154" i="2"/>
  <c r="Q153" i="2"/>
  <c r="P153" i="2"/>
  <c r="O153" i="2"/>
  <c r="N153" i="2"/>
  <c r="M153" i="2"/>
  <c r="D153" i="2"/>
  <c r="C153" i="2"/>
  <c r="B153" i="2"/>
  <c r="Q152" i="2"/>
  <c r="P152" i="2"/>
  <c r="O152" i="2"/>
  <c r="N152" i="2"/>
  <c r="M152" i="2"/>
  <c r="D152" i="2"/>
  <c r="C152" i="2"/>
  <c r="B152" i="2"/>
  <c r="Q151" i="2"/>
  <c r="P151" i="2"/>
  <c r="O151" i="2"/>
  <c r="N151" i="2"/>
  <c r="M151" i="2"/>
  <c r="D151" i="2"/>
  <c r="C151" i="2"/>
  <c r="B151" i="2"/>
  <c r="Q150" i="2"/>
  <c r="P150" i="2"/>
  <c r="O150" i="2"/>
  <c r="N150" i="2"/>
  <c r="M150" i="2"/>
  <c r="D150" i="2"/>
  <c r="C150" i="2"/>
  <c r="B150" i="2"/>
  <c r="Q149" i="2"/>
  <c r="P149" i="2"/>
  <c r="O149" i="2"/>
  <c r="N149" i="2"/>
  <c r="M149" i="2"/>
  <c r="D149" i="2"/>
  <c r="C149" i="2"/>
  <c r="B149" i="2"/>
  <c r="Q148" i="2"/>
  <c r="P148" i="2"/>
  <c r="O148" i="2"/>
  <c r="N148" i="2"/>
  <c r="M148" i="2"/>
  <c r="D148" i="2"/>
  <c r="C148" i="2"/>
  <c r="B148" i="2"/>
  <c r="Q147" i="2"/>
  <c r="P147" i="2"/>
  <c r="O147" i="2"/>
  <c r="N147" i="2"/>
  <c r="M147" i="2"/>
  <c r="D147" i="2"/>
  <c r="C147" i="2"/>
  <c r="B147" i="2"/>
  <c r="Q146" i="2"/>
  <c r="P146" i="2"/>
  <c r="O146" i="2"/>
  <c r="N146" i="2"/>
  <c r="M146" i="2"/>
  <c r="D146" i="2"/>
  <c r="C146" i="2"/>
  <c r="B146" i="2"/>
  <c r="Q145" i="2"/>
  <c r="P145" i="2"/>
  <c r="O145" i="2"/>
  <c r="N145" i="2"/>
  <c r="M145" i="2"/>
  <c r="D145" i="2"/>
  <c r="C145" i="2"/>
  <c r="B145" i="2"/>
  <c r="Q144" i="2"/>
  <c r="P144" i="2"/>
  <c r="O144" i="2"/>
  <c r="N144" i="2"/>
  <c r="M144" i="2"/>
  <c r="D144" i="2"/>
  <c r="C144" i="2"/>
  <c r="B144" i="2"/>
  <c r="Q143" i="2"/>
  <c r="P143" i="2"/>
  <c r="O143" i="2"/>
  <c r="N143" i="2"/>
  <c r="M143" i="2"/>
  <c r="D143" i="2"/>
  <c r="C143" i="2"/>
  <c r="B143" i="2"/>
  <c r="Q142" i="2"/>
  <c r="P142" i="2"/>
  <c r="O142" i="2"/>
  <c r="N142" i="2"/>
  <c r="M142" i="2"/>
  <c r="D142" i="2"/>
  <c r="C142" i="2"/>
  <c r="B142" i="2"/>
  <c r="Q141" i="2"/>
  <c r="P141" i="2"/>
  <c r="O141" i="2"/>
  <c r="N141" i="2"/>
  <c r="M141" i="2"/>
  <c r="D141" i="2"/>
  <c r="C141" i="2"/>
  <c r="B141" i="2"/>
  <c r="Q140" i="2"/>
  <c r="P140" i="2"/>
  <c r="O140" i="2"/>
  <c r="N140" i="2"/>
  <c r="M140" i="2"/>
  <c r="D140" i="2"/>
  <c r="C140" i="2"/>
  <c r="B140" i="2"/>
  <c r="Q139" i="2"/>
  <c r="P139" i="2"/>
  <c r="O139" i="2"/>
  <c r="N139" i="2"/>
  <c r="M139" i="2"/>
  <c r="D139" i="2"/>
  <c r="C139" i="2"/>
  <c r="B139" i="2"/>
  <c r="Q138" i="2"/>
  <c r="P138" i="2"/>
  <c r="O138" i="2"/>
  <c r="N138" i="2"/>
  <c r="M138" i="2"/>
  <c r="D138" i="2"/>
  <c r="C138" i="2"/>
  <c r="B138" i="2"/>
  <c r="Q137" i="2"/>
  <c r="P137" i="2"/>
  <c r="O137" i="2"/>
  <c r="N137" i="2"/>
  <c r="M137" i="2"/>
  <c r="D137" i="2"/>
  <c r="C137" i="2"/>
  <c r="B137" i="2"/>
  <c r="Q136" i="2"/>
  <c r="P136" i="2"/>
  <c r="O136" i="2"/>
  <c r="N136" i="2"/>
  <c r="M136" i="2"/>
  <c r="D136" i="2"/>
  <c r="C136" i="2"/>
  <c r="B136" i="2"/>
  <c r="Q135" i="2"/>
  <c r="P135" i="2"/>
  <c r="O135" i="2"/>
  <c r="N135" i="2"/>
  <c r="M135" i="2"/>
  <c r="D135" i="2"/>
  <c r="C135" i="2"/>
  <c r="B135" i="2"/>
  <c r="Q134" i="2"/>
  <c r="P134" i="2"/>
  <c r="O134" i="2"/>
  <c r="N134" i="2"/>
  <c r="M134" i="2"/>
  <c r="D134" i="2"/>
  <c r="C134" i="2"/>
  <c r="B134" i="2"/>
  <c r="Q133" i="2"/>
  <c r="P133" i="2"/>
  <c r="O133" i="2"/>
  <c r="N133" i="2"/>
  <c r="M133" i="2"/>
  <c r="D133" i="2"/>
  <c r="C133" i="2"/>
  <c r="B133" i="2"/>
  <c r="Q132" i="2"/>
  <c r="P132" i="2"/>
  <c r="O132" i="2"/>
  <c r="N132" i="2"/>
  <c r="M132" i="2"/>
  <c r="D132" i="2"/>
  <c r="C132" i="2"/>
  <c r="B132" i="2"/>
  <c r="Q131" i="2"/>
  <c r="P131" i="2"/>
  <c r="O131" i="2"/>
  <c r="N131" i="2"/>
  <c r="M131" i="2"/>
  <c r="D131" i="2"/>
  <c r="C131" i="2"/>
  <c r="B131" i="2"/>
  <c r="Q130" i="2"/>
  <c r="P130" i="2"/>
  <c r="O130" i="2"/>
  <c r="N130" i="2"/>
  <c r="M130" i="2"/>
  <c r="D130" i="2"/>
  <c r="C130" i="2"/>
  <c r="B130" i="2"/>
  <c r="Q129" i="2"/>
  <c r="P129" i="2"/>
  <c r="O129" i="2"/>
  <c r="N129" i="2"/>
  <c r="M129" i="2"/>
  <c r="D129" i="2"/>
  <c r="C129" i="2"/>
  <c r="B129" i="2"/>
  <c r="Q128" i="2"/>
  <c r="P128" i="2"/>
  <c r="O128" i="2"/>
  <c r="N128" i="2"/>
  <c r="M128" i="2"/>
  <c r="D128" i="2"/>
  <c r="C128" i="2"/>
  <c r="B128" i="2"/>
  <c r="Q127" i="2"/>
  <c r="P127" i="2"/>
  <c r="O127" i="2"/>
  <c r="N127" i="2"/>
  <c r="M127" i="2"/>
  <c r="D127" i="2"/>
  <c r="C127" i="2"/>
  <c r="B127" i="2"/>
  <c r="Q126" i="2"/>
  <c r="P126" i="2"/>
  <c r="O126" i="2"/>
  <c r="N126" i="2"/>
  <c r="M126" i="2"/>
  <c r="D126" i="2"/>
  <c r="C126" i="2"/>
  <c r="B126" i="2"/>
  <c r="Q125" i="2"/>
  <c r="P125" i="2"/>
  <c r="O125" i="2"/>
  <c r="N125" i="2"/>
  <c r="M125" i="2"/>
  <c r="D125" i="2"/>
  <c r="C125" i="2"/>
  <c r="B125" i="2"/>
  <c r="Q124" i="2"/>
  <c r="P124" i="2"/>
  <c r="O124" i="2"/>
  <c r="N124" i="2"/>
  <c r="M124" i="2"/>
  <c r="D124" i="2"/>
  <c r="C124" i="2"/>
  <c r="B124" i="2"/>
  <c r="Q123" i="2"/>
  <c r="P123" i="2"/>
  <c r="O123" i="2"/>
  <c r="N123" i="2"/>
  <c r="M123" i="2"/>
  <c r="D123" i="2"/>
  <c r="C123" i="2"/>
  <c r="B123" i="2"/>
  <c r="Q122" i="2"/>
  <c r="P122" i="2"/>
  <c r="O122" i="2"/>
  <c r="N122" i="2"/>
  <c r="M122" i="2"/>
  <c r="D122" i="2"/>
  <c r="C122" i="2"/>
  <c r="B122" i="2"/>
  <c r="Q121" i="2"/>
  <c r="P121" i="2"/>
  <c r="O121" i="2"/>
  <c r="N121" i="2"/>
  <c r="M121" i="2"/>
  <c r="D121" i="2"/>
  <c r="C121" i="2"/>
  <c r="B121" i="2"/>
  <c r="Q120" i="2"/>
  <c r="P120" i="2"/>
  <c r="O120" i="2"/>
  <c r="N120" i="2"/>
  <c r="M120" i="2"/>
  <c r="D120" i="2"/>
  <c r="C120" i="2"/>
  <c r="B120" i="2"/>
  <c r="Q119" i="2"/>
  <c r="P119" i="2"/>
  <c r="O119" i="2"/>
  <c r="N119" i="2"/>
  <c r="M119" i="2"/>
  <c r="D119" i="2"/>
  <c r="C119" i="2"/>
  <c r="B119" i="2"/>
  <c r="Q118" i="2"/>
  <c r="P118" i="2"/>
  <c r="O118" i="2"/>
  <c r="N118" i="2"/>
  <c r="M118" i="2"/>
  <c r="D118" i="2"/>
  <c r="C118" i="2"/>
  <c r="B118" i="2"/>
  <c r="Q117" i="2"/>
  <c r="P117" i="2"/>
  <c r="O117" i="2"/>
  <c r="N117" i="2"/>
  <c r="M117" i="2"/>
  <c r="D117" i="2"/>
  <c r="C117" i="2"/>
  <c r="B117" i="2"/>
  <c r="Q116" i="2"/>
  <c r="P116" i="2"/>
  <c r="O116" i="2"/>
  <c r="N116" i="2"/>
  <c r="M116" i="2"/>
  <c r="D116" i="2"/>
  <c r="C116" i="2"/>
  <c r="B116" i="2"/>
  <c r="Q115" i="2"/>
  <c r="P115" i="2"/>
  <c r="O115" i="2"/>
  <c r="N115" i="2"/>
  <c r="M115" i="2"/>
  <c r="D115" i="2"/>
  <c r="C115" i="2"/>
  <c r="B115" i="2"/>
  <c r="Q114" i="2"/>
  <c r="P114" i="2"/>
  <c r="O114" i="2"/>
  <c r="N114" i="2"/>
  <c r="M114" i="2"/>
  <c r="D114" i="2"/>
  <c r="C114" i="2"/>
  <c r="B114" i="2"/>
  <c r="Q113" i="2"/>
  <c r="P113" i="2"/>
  <c r="O113" i="2"/>
  <c r="N113" i="2"/>
  <c r="M113" i="2"/>
  <c r="D113" i="2"/>
  <c r="C113" i="2"/>
  <c r="B113" i="2"/>
  <c r="Q112" i="2"/>
  <c r="P112" i="2"/>
  <c r="O112" i="2"/>
  <c r="N112" i="2"/>
  <c r="M112" i="2"/>
  <c r="D112" i="2"/>
  <c r="C112" i="2"/>
  <c r="B112" i="2"/>
  <c r="Q111" i="2"/>
  <c r="P111" i="2"/>
  <c r="O111" i="2"/>
  <c r="N111" i="2"/>
  <c r="M111" i="2"/>
  <c r="D111" i="2"/>
  <c r="C111" i="2"/>
  <c r="B111" i="2"/>
  <c r="Q110" i="2"/>
  <c r="P110" i="2"/>
  <c r="O110" i="2"/>
  <c r="N110" i="2"/>
  <c r="M110" i="2"/>
  <c r="D110" i="2"/>
  <c r="C110" i="2"/>
  <c r="B110" i="2"/>
  <c r="Q109" i="2"/>
  <c r="P109" i="2"/>
  <c r="O109" i="2"/>
  <c r="N109" i="2"/>
  <c r="M109" i="2"/>
  <c r="D109" i="2"/>
  <c r="C109" i="2"/>
  <c r="B109" i="2"/>
  <c r="Q108" i="2"/>
  <c r="P108" i="2"/>
  <c r="O108" i="2"/>
  <c r="N108" i="2"/>
  <c r="M108" i="2"/>
  <c r="D108" i="2"/>
  <c r="C108" i="2"/>
  <c r="B108" i="2"/>
  <c r="Q107" i="2"/>
  <c r="P107" i="2"/>
  <c r="O107" i="2"/>
  <c r="N107" i="2"/>
  <c r="M107" i="2"/>
  <c r="D107" i="2"/>
  <c r="C107" i="2"/>
  <c r="B107" i="2"/>
  <c r="Q106" i="2"/>
  <c r="P106" i="2"/>
  <c r="O106" i="2"/>
  <c r="N106" i="2"/>
  <c r="M106" i="2"/>
  <c r="D106" i="2"/>
  <c r="C106" i="2"/>
  <c r="B106" i="2"/>
  <c r="Q105" i="2"/>
  <c r="P105" i="2"/>
  <c r="O105" i="2"/>
  <c r="N105" i="2"/>
  <c r="M105" i="2"/>
  <c r="D105" i="2"/>
  <c r="C105" i="2"/>
  <c r="B105" i="2"/>
  <c r="Q104" i="2"/>
  <c r="P104" i="2"/>
  <c r="O104" i="2"/>
  <c r="N104" i="2"/>
  <c r="M104" i="2"/>
  <c r="D104" i="2"/>
  <c r="C104" i="2"/>
  <c r="B104" i="2"/>
  <c r="Q103" i="2"/>
  <c r="P103" i="2"/>
  <c r="O103" i="2"/>
  <c r="N103" i="2"/>
  <c r="M103" i="2"/>
  <c r="D103" i="2"/>
  <c r="C103" i="2"/>
  <c r="B103" i="2"/>
  <c r="Q102" i="2"/>
  <c r="P102" i="2"/>
  <c r="O102" i="2"/>
  <c r="N102" i="2"/>
  <c r="M102" i="2"/>
  <c r="D102" i="2"/>
  <c r="C102" i="2"/>
  <c r="B102" i="2"/>
  <c r="Q101" i="2"/>
  <c r="P101" i="2"/>
  <c r="O101" i="2"/>
  <c r="N101" i="2"/>
  <c r="M101" i="2"/>
  <c r="D101" i="2"/>
  <c r="C101" i="2"/>
  <c r="B101" i="2"/>
  <c r="Q100" i="2"/>
  <c r="P100" i="2"/>
  <c r="O100" i="2"/>
  <c r="N100" i="2"/>
  <c r="M100" i="2"/>
  <c r="D100" i="2"/>
  <c r="C100" i="2"/>
  <c r="B100" i="2"/>
  <c r="Q99" i="2"/>
  <c r="P99" i="2"/>
  <c r="O99" i="2"/>
  <c r="N99" i="2"/>
  <c r="M99" i="2"/>
  <c r="D99" i="2"/>
  <c r="C99" i="2"/>
  <c r="B99" i="2"/>
  <c r="Q98" i="2"/>
  <c r="P98" i="2"/>
  <c r="O98" i="2"/>
  <c r="N98" i="2"/>
  <c r="M98" i="2"/>
  <c r="D98" i="2"/>
  <c r="C98" i="2"/>
  <c r="B98" i="2"/>
  <c r="Q97" i="2"/>
  <c r="P97" i="2"/>
  <c r="O97" i="2"/>
  <c r="N97" i="2"/>
  <c r="M97" i="2"/>
  <c r="D97" i="2"/>
  <c r="C97" i="2"/>
  <c r="B97" i="2"/>
  <c r="Q96" i="2"/>
  <c r="P96" i="2"/>
  <c r="O96" i="2"/>
  <c r="N96" i="2"/>
  <c r="M96" i="2"/>
  <c r="D96" i="2"/>
  <c r="C96" i="2"/>
  <c r="B96" i="2"/>
  <c r="Q95" i="2"/>
  <c r="P95" i="2"/>
  <c r="O95" i="2"/>
  <c r="N95" i="2"/>
  <c r="M95" i="2"/>
  <c r="D95" i="2"/>
  <c r="C95" i="2"/>
  <c r="B95" i="2"/>
  <c r="Q94" i="2"/>
  <c r="P94" i="2"/>
  <c r="O94" i="2"/>
  <c r="N94" i="2"/>
  <c r="M94" i="2"/>
  <c r="D94" i="2"/>
  <c r="C94" i="2"/>
  <c r="B94" i="2"/>
  <c r="Q93" i="2"/>
  <c r="P93" i="2"/>
  <c r="O93" i="2"/>
  <c r="N93" i="2"/>
  <c r="M93" i="2"/>
  <c r="D93" i="2"/>
  <c r="C93" i="2"/>
  <c r="B93" i="2"/>
  <c r="Q92" i="2"/>
  <c r="P92" i="2"/>
  <c r="O92" i="2"/>
  <c r="N92" i="2"/>
  <c r="M92" i="2"/>
  <c r="D92" i="2"/>
  <c r="C92" i="2"/>
  <c r="B92" i="2"/>
  <c r="Q91" i="2"/>
  <c r="P91" i="2"/>
  <c r="O91" i="2"/>
  <c r="N91" i="2"/>
  <c r="M91" i="2"/>
  <c r="D91" i="2"/>
  <c r="C91" i="2"/>
  <c r="B91" i="2"/>
  <c r="Q90" i="2"/>
  <c r="P90" i="2"/>
  <c r="O90" i="2"/>
  <c r="N90" i="2"/>
  <c r="M90" i="2"/>
  <c r="D90" i="2"/>
  <c r="C90" i="2"/>
  <c r="B90" i="2"/>
  <c r="Q89" i="2"/>
  <c r="P89" i="2"/>
  <c r="O89" i="2"/>
  <c r="N89" i="2"/>
  <c r="M89" i="2"/>
  <c r="D89" i="2"/>
  <c r="C89" i="2"/>
  <c r="B89" i="2"/>
  <c r="Q88" i="2"/>
  <c r="P88" i="2"/>
  <c r="O88" i="2"/>
  <c r="N88" i="2"/>
  <c r="M88" i="2"/>
  <c r="D88" i="2"/>
  <c r="C88" i="2"/>
  <c r="B88" i="2"/>
  <c r="Q87" i="2"/>
  <c r="P87" i="2"/>
  <c r="O87" i="2"/>
  <c r="N87" i="2"/>
  <c r="M87" i="2"/>
  <c r="D87" i="2"/>
  <c r="C87" i="2"/>
  <c r="B87" i="2"/>
  <c r="Q86" i="2"/>
  <c r="P86" i="2"/>
  <c r="O86" i="2"/>
  <c r="N86" i="2"/>
  <c r="M86" i="2"/>
  <c r="D86" i="2"/>
  <c r="C86" i="2"/>
  <c r="B86" i="2"/>
  <c r="Q85" i="2"/>
  <c r="P85" i="2"/>
  <c r="O85" i="2"/>
  <c r="N85" i="2"/>
  <c r="M85" i="2"/>
  <c r="D85" i="2"/>
  <c r="C85" i="2"/>
  <c r="B85" i="2"/>
  <c r="Q84" i="2"/>
  <c r="P84" i="2"/>
  <c r="O84" i="2"/>
  <c r="N84" i="2"/>
  <c r="M84" i="2"/>
  <c r="D84" i="2"/>
  <c r="C84" i="2"/>
  <c r="B84" i="2"/>
  <c r="Q83" i="2"/>
  <c r="P83" i="2"/>
  <c r="O83" i="2"/>
  <c r="N83" i="2"/>
  <c r="M83" i="2"/>
  <c r="D83" i="2"/>
  <c r="C83" i="2"/>
  <c r="B83" i="2"/>
  <c r="Q82" i="2"/>
  <c r="P82" i="2"/>
  <c r="O82" i="2"/>
  <c r="N82" i="2"/>
  <c r="M82" i="2"/>
  <c r="D82" i="2"/>
  <c r="C82" i="2"/>
  <c r="B82" i="2"/>
  <c r="Q81" i="2"/>
  <c r="P81" i="2"/>
  <c r="O81" i="2"/>
  <c r="N81" i="2"/>
  <c r="M81" i="2"/>
  <c r="D81" i="2"/>
  <c r="C81" i="2"/>
  <c r="B81" i="2"/>
  <c r="Q80" i="2"/>
  <c r="P80" i="2"/>
  <c r="O80" i="2"/>
  <c r="N80" i="2"/>
  <c r="M80" i="2"/>
  <c r="D80" i="2"/>
  <c r="C80" i="2"/>
  <c r="B80" i="2"/>
  <c r="Q79" i="2"/>
  <c r="P79" i="2"/>
  <c r="O79" i="2"/>
  <c r="N79" i="2"/>
  <c r="M79" i="2"/>
  <c r="D79" i="2"/>
  <c r="C79" i="2"/>
  <c r="B79" i="2"/>
  <c r="Q78" i="2"/>
  <c r="P78" i="2"/>
  <c r="O78" i="2"/>
  <c r="N78" i="2"/>
  <c r="M78" i="2"/>
  <c r="D78" i="2"/>
  <c r="C78" i="2"/>
  <c r="B78" i="2"/>
  <c r="Q77" i="2"/>
  <c r="P77" i="2"/>
  <c r="O77" i="2"/>
  <c r="N77" i="2"/>
  <c r="M77" i="2"/>
  <c r="D77" i="2"/>
  <c r="C77" i="2"/>
  <c r="B77" i="2"/>
  <c r="Q76" i="2"/>
  <c r="P76" i="2"/>
  <c r="O76" i="2"/>
  <c r="N76" i="2"/>
  <c r="M76" i="2"/>
  <c r="D76" i="2"/>
  <c r="C76" i="2"/>
  <c r="B76" i="2"/>
  <c r="Q75" i="2"/>
  <c r="P75" i="2"/>
  <c r="O75" i="2"/>
  <c r="N75" i="2"/>
  <c r="M75" i="2"/>
  <c r="D75" i="2"/>
  <c r="C75" i="2"/>
  <c r="B75" i="2"/>
  <c r="Q74" i="2"/>
  <c r="P74" i="2"/>
  <c r="O74" i="2"/>
  <c r="N74" i="2"/>
  <c r="M74" i="2"/>
  <c r="D74" i="2"/>
  <c r="C74" i="2"/>
  <c r="B74" i="2"/>
  <c r="Q73" i="2"/>
  <c r="P73" i="2"/>
  <c r="O73" i="2"/>
  <c r="N73" i="2"/>
  <c r="M73" i="2"/>
  <c r="D73" i="2"/>
  <c r="C73" i="2"/>
  <c r="B73" i="2"/>
  <c r="Q72" i="2"/>
  <c r="P72" i="2"/>
  <c r="O72" i="2"/>
  <c r="N72" i="2"/>
  <c r="M72" i="2"/>
  <c r="D72" i="2"/>
  <c r="C72" i="2"/>
  <c r="B72" i="2"/>
  <c r="Q71" i="2"/>
  <c r="P71" i="2"/>
  <c r="O71" i="2"/>
  <c r="N71" i="2"/>
  <c r="M71" i="2"/>
  <c r="D71" i="2"/>
  <c r="C71" i="2"/>
  <c r="B71" i="2"/>
  <c r="Q70" i="2"/>
  <c r="P70" i="2"/>
  <c r="O70" i="2"/>
  <c r="N70" i="2"/>
  <c r="M70" i="2"/>
  <c r="D70" i="2"/>
  <c r="C70" i="2"/>
  <c r="B70" i="2"/>
  <c r="Q69" i="2"/>
  <c r="P69" i="2"/>
  <c r="O69" i="2"/>
  <c r="N69" i="2"/>
  <c r="M69" i="2"/>
  <c r="D69" i="2"/>
  <c r="C69" i="2"/>
  <c r="B69" i="2"/>
  <c r="Q68" i="2"/>
  <c r="P68" i="2"/>
  <c r="O68" i="2"/>
  <c r="N68" i="2"/>
  <c r="M68" i="2"/>
  <c r="D68" i="2"/>
  <c r="C68" i="2"/>
  <c r="B68" i="2"/>
  <c r="Q67" i="2"/>
  <c r="P67" i="2"/>
  <c r="O67" i="2"/>
  <c r="N67" i="2"/>
  <c r="M67" i="2"/>
  <c r="D67" i="2"/>
  <c r="C67" i="2"/>
  <c r="B67" i="2"/>
  <c r="Q66" i="2"/>
  <c r="P66" i="2"/>
  <c r="O66" i="2"/>
  <c r="N66" i="2"/>
  <c r="M66" i="2"/>
  <c r="D66" i="2"/>
  <c r="C66" i="2"/>
  <c r="B66" i="2"/>
  <c r="Q65" i="2"/>
  <c r="P65" i="2"/>
  <c r="O65" i="2"/>
  <c r="N65" i="2"/>
  <c r="M65" i="2"/>
  <c r="D65" i="2"/>
  <c r="C65" i="2"/>
  <c r="B65" i="2"/>
  <c r="Q64" i="2"/>
  <c r="P64" i="2"/>
  <c r="O64" i="2"/>
  <c r="N64" i="2"/>
  <c r="M64" i="2"/>
  <c r="D64" i="2"/>
  <c r="C64" i="2"/>
  <c r="B64" i="2"/>
  <c r="Q63" i="2"/>
  <c r="P63" i="2"/>
  <c r="O63" i="2"/>
  <c r="N63" i="2"/>
  <c r="M63" i="2"/>
  <c r="D63" i="2"/>
  <c r="C63" i="2"/>
  <c r="B63" i="2"/>
  <c r="Q62" i="2"/>
  <c r="P62" i="2"/>
  <c r="O62" i="2"/>
  <c r="N62" i="2"/>
  <c r="M62" i="2"/>
  <c r="D62" i="2"/>
  <c r="C62" i="2"/>
  <c r="B62" i="2"/>
  <c r="Q61" i="2"/>
  <c r="P61" i="2"/>
  <c r="O61" i="2"/>
  <c r="N61" i="2"/>
  <c r="M61" i="2"/>
  <c r="D61" i="2"/>
  <c r="C61" i="2"/>
  <c r="B61" i="2"/>
  <c r="Q60" i="2"/>
  <c r="P60" i="2"/>
  <c r="O60" i="2"/>
  <c r="N60" i="2"/>
  <c r="M60" i="2"/>
  <c r="D60" i="2"/>
  <c r="C60" i="2"/>
  <c r="B60" i="2"/>
  <c r="Q59" i="2"/>
  <c r="P59" i="2"/>
  <c r="O59" i="2"/>
  <c r="N59" i="2"/>
  <c r="M59" i="2"/>
  <c r="D59" i="2"/>
  <c r="C59" i="2"/>
  <c r="B59" i="2"/>
  <c r="Q58" i="2"/>
  <c r="P58" i="2"/>
  <c r="O58" i="2"/>
  <c r="N58" i="2"/>
  <c r="M58" i="2"/>
  <c r="D58" i="2"/>
  <c r="C58" i="2"/>
  <c r="B58" i="2"/>
  <c r="Q57" i="2"/>
  <c r="P57" i="2"/>
  <c r="O57" i="2"/>
  <c r="N57" i="2"/>
  <c r="M57" i="2"/>
  <c r="D57" i="2"/>
  <c r="C57" i="2"/>
  <c r="B57" i="2"/>
  <c r="Q56" i="2"/>
  <c r="P56" i="2"/>
  <c r="O56" i="2"/>
  <c r="N56" i="2"/>
  <c r="M56" i="2"/>
  <c r="D56" i="2"/>
  <c r="C56" i="2"/>
  <c r="B56" i="2"/>
  <c r="Q55" i="2"/>
  <c r="P55" i="2"/>
  <c r="O55" i="2"/>
  <c r="N55" i="2"/>
  <c r="M55" i="2"/>
  <c r="D55" i="2"/>
  <c r="C55" i="2"/>
  <c r="B55" i="2"/>
  <c r="Q54" i="2"/>
  <c r="P54" i="2"/>
  <c r="O54" i="2"/>
  <c r="N54" i="2"/>
  <c r="M54" i="2"/>
  <c r="D54" i="2"/>
  <c r="C54" i="2"/>
  <c r="B54" i="2"/>
  <c r="Q53" i="2"/>
  <c r="P53" i="2"/>
  <c r="O53" i="2"/>
  <c r="N53" i="2"/>
  <c r="M53" i="2"/>
  <c r="D53" i="2"/>
  <c r="C53" i="2"/>
  <c r="B53" i="2"/>
  <c r="Q52" i="2"/>
  <c r="P52" i="2"/>
  <c r="O52" i="2"/>
  <c r="N52" i="2"/>
  <c r="M52" i="2"/>
  <c r="D52" i="2"/>
  <c r="C52" i="2"/>
  <c r="B52" i="2"/>
  <c r="Q51" i="2"/>
  <c r="P51" i="2"/>
  <c r="O51" i="2"/>
  <c r="N51" i="2"/>
  <c r="M51" i="2"/>
  <c r="D51" i="2"/>
  <c r="C51" i="2"/>
  <c r="B51" i="2"/>
  <c r="Q50" i="2"/>
  <c r="P50" i="2"/>
  <c r="O50" i="2"/>
  <c r="N50" i="2"/>
  <c r="M50" i="2"/>
  <c r="D50" i="2"/>
  <c r="C50" i="2"/>
  <c r="B50" i="2"/>
  <c r="Q49" i="2"/>
  <c r="P49" i="2"/>
  <c r="O49" i="2"/>
  <c r="N49" i="2"/>
  <c r="M49" i="2"/>
  <c r="D49" i="2"/>
  <c r="C49" i="2"/>
  <c r="B49" i="2"/>
  <c r="Q48" i="2"/>
  <c r="P48" i="2"/>
  <c r="O48" i="2"/>
  <c r="N48" i="2"/>
  <c r="M48" i="2"/>
  <c r="D48" i="2"/>
  <c r="C48" i="2"/>
  <c r="B48" i="2"/>
  <c r="Q47" i="2"/>
  <c r="P47" i="2"/>
  <c r="O47" i="2"/>
  <c r="N47" i="2"/>
  <c r="M47" i="2"/>
  <c r="D47" i="2"/>
  <c r="C47" i="2"/>
  <c r="B47" i="2"/>
  <c r="Q46" i="2"/>
  <c r="P46" i="2"/>
  <c r="O46" i="2"/>
  <c r="N46" i="2"/>
  <c r="M46" i="2"/>
  <c r="D46" i="2"/>
  <c r="C46" i="2"/>
  <c r="B46" i="2"/>
  <c r="Q45" i="2"/>
  <c r="P45" i="2"/>
  <c r="O45" i="2"/>
  <c r="N45" i="2"/>
  <c r="M45" i="2"/>
  <c r="D45" i="2"/>
  <c r="C45" i="2"/>
  <c r="B45" i="2"/>
  <c r="Q44" i="2"/>
  <c r="P44" i="2"/>
  <c r="O44" i="2"/>
  <c r="N44" i="2"/>
  <c r="M44" i="2"/>
  <c r="D44" i="2"/>
  <c r="C44" i="2"/>
  <c r="B44" i="2"/>
  <c r="Q43" i="2"/>
  <c r="P43" i="2"/>
  <c r="O43" i="2"/>
  <c r="N43" i="2"/>
  <c r="M43" i="2"/>
  <c r="D43" i="2"/>
  <c r="C43" i="2"/>
  <c r="B43" i="2"/>
  <c r="Q42" i="2"/>
  <c r="P42" i="2"/>
  <c r="O42" i="2"/>
  <c r="N42" i="2"/>
  <c r="M42" i="2"/>
  <c r="D42" i="2"/>
  <c r="C42" i="2"/>
  <c r="B42" i="2"/>
  <c r="Q41" i="2"/>
  <c r="P41" i="2"/>
  <c r="O41" i="2"/>
  <c r="N41" i="2"/>
  <c r="M41" i="2"/>
  <c r="D41" i="2"/>
  <c r="C41" i="2"/>
  <c r="B41" i="2"/>
  <c r="Q40" i="2"/>
  <c r="P40" i="2"/>
  <c r="O40" i="2"/>
  <c r="N40" i="2"/>
  <c r="M40" i="2"/>
  <c r="D40" i="2"/>
  <c r="C40" i="2"/>
  <c r="B40" i="2"/>
  <c r="Q39" i="2"/>
  <c r="P39" i="2"/>
  <c r="O39" i="2"/>
  <c r="N39" i="2"/>
  <c r="M39" i="2"/>
  <c r="D39" i="2"/>
  <c r="C39" i="2"/>
  <c r="B39" i="2"/>
  <c r="Q38" i="2"/>
  <c r="P38" i="2"/>
  <c r="O38" i="2"/>
  <c r="N38" i="2"/>
  <c r="M38" i="2"/>
  <c r="D38" i="2"/>
  <c r="C38" i="2"/>
  <c r="B38" i="2"/>
  <c r="Q37" i="2"/>
  <c r="P37" i="2"/>
  <c r="O37" i="2"/>
  <c r="N37" i="2"/>
  <c r="M37" i="2"/>
  <c r="D37" i="2"/>
  <c r="C37" i="2"/>
  <c r="B37" i="2"/>
  <c r="Q36" i="2"/>
  <c r="P36" i="2"/>
  <c r="O36" i="2"/>
  <c r="N36" i="2"/>
  <c r="M36" i="2"/>
  <c r="D36" i="2"/>
  <c r="C36" i="2"/>
  <c r="B36" i="2"/>
  <c r="Q35" i="2"/>
  <c r="P35" i="2"/>
  <c r="O35" i="2"/>
  <c r="N35" i="2"/>
  <c r="M35" i="2"/>
  <c r="D35" i="2"/>
  <c r="C35" i="2"/>
  <c r="B35" i="2"/>
  <c r="Q34" i="2"/>
  <c r="P34" i="2"/>
  <c r="O34" i="2"/>
  <c r="N34" i="2"/>
  <c r="M34" i="2"/>
  <c r="D34" i="2"/>
  <c r="C34" i="2"/>
  <c r="B34" i="2"/>
  <c r="Q33" i="2"/>
  <c r="P33" i="2"/>
  <c r="O33" i="2"/>
  <c r="N33" i="2"/>
  <c r="M33" i="2"/>
  <c r="D33" i="2"/>
  <c r="C33" i="2"/>
  <c r="B33" i="2"/>
  <c r="Q32" i="2"/>
  <c r="P32" i="2"/>
  <c r="O32" i="2"/>
  <c r="N32" i="2"/>
  <c r="M32" i="2"/>
  <c r="D32" i="2"/>
  <c r="C32" i="2"/>
  <c r="B32" i="2"/>
  <c r="Q31" i="2"/>
  <c r="P31" i="2"/>
  <c r="O31" i="2"/>
  <c r="N31" i="2"/>
  <c r="M31" i="2"/>
  <c r="D31" i="2"/>
  <c r="C31" i="2"/>
  <c r="B31" i="2"/>
  <c r="Q30" i="2"/>
  <c r="P30" i="2"/>
  <c r="O30" i="2"/>
  <c r="N30" i="2"/>
  <c r="M30" i="2"/>
  <c r="D30" i="2"/>
  <c r="C30" i="2"/>
  <c r="B30" i="2"/>
  <c r="Q29" i="2"/>
  <c r="P29" i="2"/>
  <c r="O29" i="2"/>
  <c r="N29" i="2"/>
  <c r="M29" i="2"/>
  <c r="D29" i="2"/>
  <c r="C29" i="2"/>
  <c r="B29" i="2"/>
  <c r="Q28" i="2"/>
  <c r="P28" i="2"/>
  <c r="O28" i="2"/>
  <c r="N28" i="2"/>
  <c r="M28" i="2"/>
  <c r="D28" i="2"/>
  <c r="C28" i="2"/>
  <c r="B28" i="2"/>
  <c r="Q27" i="2"/>
  <c r="P27" i="2"/>
  <c r="O27" i="2"/>
  <c r="N27" i="2"/>
  <c r="M27" i="2"/>
  <c r="D27" i="2"/>
  <c r="C27" i="2"/>
  <c r="B27" i="2"/>
  <c r="Q26" i="2"/>
  <c r="P26" i="2"/>
  <c r="O26" i="2"/>
  <c r="N26" i="2"/>
  <c r="M26" i="2"/>
  <c r="D26" i="2"/>
  <c r="C26" i="2"/>
  <c r="B26" i="2"/>
  <c r="Q25" i="2"/>
  <c r="P25" i="2"/>
  <c r="O25" i="2"/>
  <c r="N25" i="2"/>
  <c r="M25" i="2"/>
  <c r="D25" i="2"/>
  <c r="C25" i="2"/>
  <c r="B25" i="2"/>
  <c r="Q24" i="2"/>
  <c r="P24" i="2"/>
  <c r="O24" i="2"/>
  <c r="N24" i="2"/>
  <c r="M24" i="2"/>
  <c r="D24" i="2"/>
  <c r="C24" i="2"/>
  <c r="B24" i="2"/>
  <c r="Q23" i="2"/>
  <c r="P23" i="2"/>
  <c r="O23" i="2"/>
  <c r="N23" i="2"/>
  <c r="M23" i="2"/>
  <c r="D23" i="2"/>
  <c r="C23" i="2"/>
  <c r="B23" i="2"/>
  <c r="Q22" i="2"/>
  <c r="P22" i="2"/>
  <c r="O22" i="2"/>
  <c r="N22" i="2"/>
  <c r="M22" i="2"/>
  <c r="D22" i="2"/>
  <c r="C22" i="2"/>
  <c r="B22" i="2"/>
  <c r="Q21" i="2"/>
  <c r="P21" i="2"/>
  <c r="O21" i="2"/>
  <c r="N21" i="2"/>
  <c r="M21" i="2"/>
  <c r="D21" i="2"/>
  <c r="C21" i="2"/>
  <c r="B21" i="2"/>
  <c r="Q20" i="2"/>
  <c r="P20" i="2"/>
  <c r="O20" i="2"/>
  <c r="N20" i="2"/>
  <c r="M20" i="2"/>
  <c r="D20" i="2"/>
  <c r="C20" i="2"/>
  <c r="B20" i="2"/>
  <c r="Q19" i="2"/>
  <c r="P19" i="2"/>
  <c r="O19" i="2"/>
  <c r="N19" i="2"/>
  <c r="M19" i="2"/>
  <c r="D19" i="2"/>
  <c r="C19" i="2"/>
  <c r="B19" i="2"/>
  <c r="Q18" i="2"/>
  <c r="P18" i="2"/>
  <c r="O18" i="2"/>
  <c r="N18" i="2"/>
  <c r="M18" i="2"/>
  <c r="D18" i="2"/>
  <c r="C18" i="2"/>
  <c r="B18" i="2"/>
  <c r="Q17" i="2"/>
  <c r="P17" i="2"/>
  <c r="O17" i="2"/>
  <c r="N17" i="2"/>
  <c r="M17" i="2"/>
  <c r="D17" i="2"/>
  <c r="C17" i="2"/>
  <c r="B17" i="2"/>
  <c r="Q16" i="2"/>
  <c r="P16" i="2"/>
  <c r="O16" i="2"/>
  <c r="N16" i="2"/>
  <c r="M16" i="2"/>
  <c r="D16" i="2"/>
  <c r="C16" i="2"/>
  <c r="B16" i="2"/>
  <c r="Q15" i="2"/>
  <c r="P15" i="2"/>
  <c r="O15" i="2"/>
  <c r="N15" i="2"/>
  <c r="M15" i="2"/>
  <c r="D15" i="2"/>
  <c r="C15" i="2"/>
  <c r="B15" i="2"/>
  <c r="Q14" i="2"/>
  <c r="P14" i="2"/>
  <c r="O14" i="2"/>
  <c r="N14" i="2"/>
  <c r="M14" i="2"/>
  <c r="D14" i="2"/>
  <c r="C14" i="2"/>
  <c r="B14" i="2"/>
  <c r="Q13" i="2"/>
  <c r="P13" i="2"/>
  <c r="O13" i="2"/>
  <c r="N13" i="2"/>
  <c r="M13" i="2"/>
  <c r="D13" i="2"/>
  <c r="C13" i="2"/>
  <c r="B13" i="2"/>
  <c r="Q12" i="2"/>
  <c r="P12" i="2"/>
  <c r="O12" i="2"/>
  <c r="N12" i="2"/>
  <c r="M12" i="2"/>
  <c r="D12" i="2"/>
  <c r="C12" i="2"/>
  <c r="B12" i="2"/>
  <c r="Q11" i="2"/>
  <c r="P11" i="2"/>
  <c r="O11" i="2"/>
  <c r="N11" i="2"/>
  <c r="M11" i="2"/>
  <c r="D11" i="2"/>
  <c r="C11" i="2"/>
  <c r="B11" i="2"/>
  <c r="Q10" i="2"/>
  <c r="P10" i="2"/>
  <c r="O10" i="2"/>
  <c r="N10" i="2"/>
  <c r="M10" i="2"/>
  <c r="D10" i="2"/>
  <c r="C10" i="2"/>
  <c r="B10" i="2"/>
  <c r="Q9" i="2"/>
  <c r="P9" i="2"/>
  <c r="O9" i="2"/>
  <c r="N9" i="2"/>
  <c r="M9" i="2"/>
  <c r="D9" i="2"/>
  <c r="C9" i="2"/>
  <c r="B9" i="2"/>
  <c r="Q8" i="2"/>
  <c r="P8" i="2"/>
  <c r="O8" i="2"/>
  <c r="N8" i="2"/>
  <c r="M8" i="2"/>
  <c r="D8" i="2"/>
  <c r="C8" i="2"/>
  <c r="B8" i="2"/>
  <c r="Q7" i="2"/>
  <c r="P7" i="2"/>
  <c r="O7" i="2"/>
  <c r="N7" i="2"/>
  <c r="M7" i="2"/>
  <c r="D7" i="2"/>
  <c r="C7" i="2"/>
  <c r="B7" i="2"/>
  <c r="Q6" i="2"/>
  <c r="P6" i="2"/>
  <c r="O6" i="2"/>
  <c r="N6" i="2"/>
  <c r="M6" i="2"/>
  <c r="D6" i="2"/>
  <c r="C6" i="2"/>
  <c r="B6" i="2"/>
  <c r="Q5" i="2"/>
  <c r="P5" i="2"/>
  <c r="O5" i="2"/>
  <c r="N5" i="2"/>
  <c r="M5" i="2"/>
  <c r="D5" i="2"/>
  <c r="C5" i="2"/>
  <c r="B5" i="2"/>
  <c r="Q4" i="2"/>
  <c r="P4" i="2"/>
  <c r="O4" i="2"/>
  <c r="N4" i="2"/>
  <c r="M4" i="2"/>
  <c r="D4" i="2"/>
  <c r="C4" i="2"/>
  <c r="B4" i="2"/>
  <c r="Q3" i="2"/>
  <c r="P3" i="2"/>
  <c r="O3" i="2"/>
  <c r="N3" i="2"/>
  <c r="M3" i="2"/>
  <c r="D3" i="2"/>
  <c r="C3" i="2"/>
  <c r="B3" i="2"/>
  <c r="Q2" i="2"/>
  <c r="P2" i="2"/>
  <c r="O2" i="2"/>
  <c r="N2" i="2"/>
  <c r="M2" i="2"/>
  <c r="D2" i="2"/>
  <c r="C2" i="2"/>
  <c r="B2" i="2"/>
</calcChain>
</file>

<file path=xl/sharedStrings.xml><?xml version="1.0" encoding="utf-8"?>
<sst xmlns="http://schemas.openxmlformats.org/spreadsheetml/2006/main" count="7243" uniqueCount="269">
  <si>
    <t>Date</t>
  </si>
  <si>
    <t>Product</t>
  </si>
  <si>
    <t>Category</t>
  </si>
  <si>
    <t>Color</t>
  </si>
  <si>
    <t>Brand</t>
  </si>
  <si>
    <t>Country</t>
  </si>
  <si>
    <t>Quantity</t>
  </si>
  <si>
    <t>Payment Type</t>
  </si>
  <si>
    <t>05/19/2026</t>
  </si>
  <si>
    <t>monk straps</t>
  </si>
  <si>
    <t>Formal</t>
  </si>
  <si>
    <t>Red</t>
  </si>
  <si>
    <t>Nike</t>
  </si>
  <si>
    <t>Uganda</t>
  </si>
  <si>
    <t>Bank Transfer</t>
  </si>
  <si>
    <t>06/26/2026</t>
  </si>
  <si>
    <t>loafers</t>
  </si>
  <si>
    <t>Black</t>
  </si>
  <si>
    <t>nike</t>
  </si>
  <si>
    <t>Card</t>
  </si>
  <si>
    <t>05/30/2026</t>
  </si>
  <si>
    <t>Derby</t>
  </si>
  <si>
    <t>FORMAL</t>
  </si>
  <si>
    <t>Green</t>
  </si>
  <si>
    <t>clarks</t>
  </si>
  <si>
    <t>Nigeria</t>
  </si>
  <si>
    <t>boots</t>
  </si>
  <si>
    <t>UTILITY</t>
  </si>
  <si>
    <t>Canada</t>
  </si>
  <si>
    <t>04/18/2026</t>
  </si>
  <si>
    <t>BOOTS</t>
  </si>
  <si>
    <t>casual</t>
  </si>
  <si>
    <t>CLARKS</t>
  </si>
  <si>
    <t>UK</t>
  </si>
  <si>
    <t>Canvas</t>
  </si>
  <si>
    <t>Utility</t>
  </si>
  <si>
    <t>Blue</t>
  </si>
  <si>
    <t>NIKE</t>
  </si>
  <si>
    <t>Ghana</t>
  </si>
  <si>
    <t>06/18/2026</t>
  </si>
  <si>
    <t>canvas</t>
  </si>
  <si>
    <t>USA</t>
  </si>
  <si>
    <t>Cash</t>
  </si>
  <si>
    <t>Brown</t>
  </si>
  <si>
    <t>timberland</t>
  </si>
  <si>
    <t>01/16/2026</t>
  </si>
  <si>
    <t>formal</t>
  </si>
  <si>
    <t>Australia</t>
  </si>
  <si>
    <t>OXFORD</t>
  </si>
  <si>
    <t>Cyprus</t>
  </si>
  <si>
    <t>Mobile Money</t>
  </si>
  <si>
    <t>04/20/2026</t>
  </si>
  <si>
    <t>Clarks</t>
  </si>
  <si>
    <t>India</t>
  </si>
  <si>
    <t>03/16/2026</t>
  </si>
  <si>
    <t>BROGUES</t>
  </si>
  <si>
    <t>Germany</t>
  </si>
  <si>
    <t>oxford</t>
  </si>
  <si>
    <t>SLIPPERS</t>
  </si>
  <si>
    <t>ZARA</t>
  </si>
  <si>
    <t>07/23/2026</t>
  </si>
  <si>
    <t>derby</t>
  </si>
  <si>
    <t>Casual</t>
  </si>
  <si>
    <t>Zara</t>
  </si>
  <si>
    <t>Philippines</t>
  </si>
  <si>
    <t>04/13/2026</t>
  </si>
  <si>
    <t>OPEN</t>
  </si>
  <si>
    <t>Steve Madden</t>
  </si>
  <si>
    <t>05/20/2026</t>
  </si>
  <si>
    <t>DERBY</t>
  </si>
  <si>
    <t>CASUAL</t>
  </si>
  <si>
    <t>03/31/2026</t>
  </si>
  <si>
    <t>Oxford</t>
  </si>
  <si>
    <t>Zimbabwe</t>
  </si>
  <si>
    <t>Monk Straps</t>
  </si>
  <si>
    <t>07/14/2026</t>
  </si>
  <si>
    <t>STEVE MADDEN</t>
  </si>
  <si>
    <t>01/28/2026</t>
  </si>
  <si>
    <t>steve madden</t>
  </si>
  <si>
    <t>01/13/2026</t>
  </si>
  <si>
    <t>Boots</t>
  </si>
  <si>
    <t>03/13/2026</t>
  </si>
  <si>
    <t>04/30/2026</t>
  </si>
  <si>
    <t>zara</t>
  </si>
  <si>
    <t>02/15/2026</t>
  </si>
  <si>
    <t>MONK STRAPS</t>
  </si>
  <si>
    <t>Albania</t>
  </si>
  <si>
    <t>07/16/2026</t>
  </si>
  <si>
    <t>brogues</t>
  </si>
  <si>
    <t>03/30/2026</t>
  </si>
  <si>
    <t>Open</t>
  </si>
  <si>
    <t>07/25/2026</t>
  </si>
  <si>
    <t>slippers</t>
  </si>
  <si>
    <t>02/19/2026</t>
  </si>
  <si>
    <t>open</t>
  </si>
  <si>
    <t>07/17/2026</t>
  </si>
  <si>
    <t>04/15/2026</t>
  </si>
  <si>
    <t>Loafers</t>
  </si>
  <si>
    <t>04/19/2026</t>
  </si>
  <si>
    <t>05/23/2026</t>
  </si>
  <si>
    <t>03/29/2026</t>
  </si>
  <si>
    <t>LOAFERS</t>
  </si>
  <si>
    <t>06/27/2026</t>
  </si>
  <si>
    <t>Kenya</t>
  </si>
  <si>
    <t>01/29/2026</t>
  </si>
  <si>
    <t>02/16/2026</t>
  </si>
  <si>
    <t>03/28/2026</t>
  </si>
  <si>
    <t>CANVAS</t>
  </si>
  <si>
    <t>01/23/2026</t>
  </si>
  <si>
    <t>07/27/2026</t>
  </si>
  <si>
    <t>06/23/2026</t>
  </si>
  <si>
    <t>utility</t>
  </si>
  <si>
    <t>06/21/2026</t>
  </si>
  <si>
    <t>02/28/2026</t>
  </si>
  <si>
    <t>06/24/2026</t>
  </si>
  <si>
    <t>TIMBERLAND</t>
  </si>
  <si>
    <t>02/24/2026</t>
  </si>
  <si>
    <t>04/21/2026</t>
  </si>
  <si>
    <t>Slippers</t>
  </si>
  <si>
    <t>01/19/2026</t>
  </si>
  <si>
    <t>06/14/2026</t>
  </si>
  <si>
    <t>02/14/2026</t>
  </si>
  <si>
    <t>03/18/2026</t>
  </si>
  <si>
    <t>06/30/2026</t>
  </si>
  <si>
    <t>01/22/2026</t>
  </si>
  <si>
    <t>07/20/2026</t>
  </si>
  <si>
    <t>03/20/2026</t>
  </si>
  <si>
    <t>07/13/2026</t>
  </si>
  <si>
    <t>01/18/2026</t>
  </si>
  <si>
    <t>02/21/2026</t>
  </si>
  <si>
    <t>06/20/2026</t>
  </si>
  <si>
    <t>04/25/2026</t>
  </si>
  <si>
    <t>02/22/2026</t>
  </si>
  <si>
    <t>08/14/2026</t>
  </si>
  <si>
    <t>01/27/2026</t>
  </si>
  <si>
    <t>06/17/2026</t>
  </si>
  <si>
    <t>07/19/2026</t>
  </si>
  <si>
    <t>05/21/2026</t>
  </si>
  <si>
    <t>Timberland</t>
  </si>
  <si>
    <t>07/30/2026</t>
  </si>
  <si>
    <t>Brogues</t>
  </si>
  <si>
    <t>05/31/2026</t>
  </si>
  <si>
    <t>05/14/2026</t>
  </si>
  <si>
    <t>07/26/2026</t>
  </si>
  <si>
    <t>05/24/2026</t>
  </si>
  <si>
    <t>03/25/2026</t>
  </si>
  <si>
    <t>07/15/2026</t>
  </si>
  <si>
    <t>04/28/2026</t>
  </si>
  <si>
    <t>06/25/2026</t>
  </si>
  <si>
    <t>01/17/2026</t>
  </si>
  <si>
    <t>03/24/2026</t>
  </si>
  <si>
    <t>07/18/2026</t>
  </si>
  <si>
    <t>01/25/2026</t>
  </si>
  <si>
    <t>03/27/2026</t>
  </si>
  <si>
    <t>01/24/2026</t>
  </si>
  <si>
    <t>02/27/2026</t>
  </si>
  <si>
    <t>01/30/2026</t>
  </si>
  <si>
    <t>04/29/2026</t>
  </si>
  <si>
    <t>01/15/2026</t>
  </si>
  <si>
    <t>05/15/2026</t>
  </si>
  <si>
    <t>05/29/2026</t>
  </si>
  <si>
    <t>02/13/2026</t>
  </si>
  <si>
    <t>07/21/2026</t>
  </si>
  <si>
    <t>05/25/2026</t>
  </si>
  <si>
    <t>02/18/2026</t>
  </si>
  <si>
    <t>04/14/2026</t>
  </si>
  <si>
    <t>01/31/2026</t>
  </si>
  <si>
    <t>03/17/2026</t>
  </si>
  <si>
    <t>06/16/2026</t>
  </si>
  <si>
    <t>07/24/2026</t>
  </si>
  <si>
    <t>05/27/2026</t>
  </si>
  <si>
    <t>05/26/2026</t>
  </si>
  <si>
    <t>04/26/2026</t>
  </si>
  <si>
    <t>02/20/2026</t>
  </si>
  <si>
    <t>02/23/2026</t>
  </si>
  <si>
    <t>02/17/2026</t>
  </si>
  <si>
    <t>03/22/2026</t>
  </si>
  <si>
    <t>06/19/2026</t>
  </si>
  <si>
    <t>03/15/2026</t>
  </si>
  <si>
    <t>06/15/2026</t>
  </si>
  <si>
    <t>04/16/2026</t>
  </si>
  <si>
    <t>01/20/2026</t>
  </si>
  <si>
    <t>02/25/2026</t>
  </si>
  <si>
    <t>06/28/2026</t>
  </si>
  <si>
    <t>04/17/2026</t>
  </si>
  <si>
    <t>05/17/2026</t>
  </si>
  <si>
    <t>07/28/2026</t>
  </si>
  <si>
    <t>05/28/2026</t>
  </si>
  <si>
    <t>01/21/2026</t>
  </si>
  <si>
    <t>03/26/2026</t>
  </si>
  <si>
    <t>04/22/2026</t>
  </si>
  <si>
    <t>05/13/2026</t>
  </si>
  <si>
    <t>06/29/2026</t>
  </si>
  <si>
    <t>08/13/2026</t>
  </si>
  <si>
    <t>05/18/2026</t>
  </si>
  <si>
    <t>01/26/2026</t>
  </si>
  <si>
    <t>07/31/2026</t>
  </si>
  <si>
    <t>03/14/2026</t>
  </si>
  <si>
    <t>02/26/2026</t>
  </si>
  <si>
    <t>Product Cleaned</t>
  </si>
  <si>
    <t>Category Cleaned</t>
  </si>
  <si>
    <t>Brand Cleaned</t>
  </si>
  <si>
    <t>Price</t>
  </si>
  <si>
    <t>Cost</t>
  </si>
  <si>
    <t>$89.00</t>
  </si>
  <si>
    <t>$47.00</t>
  </si>
  <si>
    <t>$54.00</t>
  </si>
  <si>
    <t>$28.00</t>
  </si>
  <si>
    <t>$32.00</t>
  </si>
  <si>
    <t>$14.00</t>
  </si>
  <si>
    <t>$76.00</t>
  </si>
  <si>
    <t>$39.00</t>
  </si>
  <si>
    <t>$128.00</t>
  </si>
  <si>
    <t>$72.00</t>
  </si>
  <si>
    <t>$105.00</t>
  </si>
  <si>
    <t>$58.00</t>
  </si>
  <si>
    <t>$112.00</t>
  </si>
  <si>
    <t>$64.00</t>
  </si>
  <si>
    <t>$119.00</t>
  </si>
  <si>
    <t>$67.00</t>
  </si>
  <si>
    <t>Business Questions:</t>
  </si>
  <si>
    <t>2. How have revenue and profit changed over time?</t>
  </si>
  <si>
    <t>3. Which products are driving sales?</t>
  </si>
  <si>
    <t>4. Which products are driving profitability?</t>
  </si>
  <si>
    <t>5. Which categories and brands perform best?</t>
  </si>
  <si>
    <t>6. Which countries contribute the most to the business?</t>
  </si>
  <si>
    <t>7. What purchasing patterns can we identify from payment method and product preferences?</t>
  </si>
  <si>
    <t>8. What actions should management take based on the findings?</t>
  </si>
  <si>
    <t>Selling Price</t>
  </si>
  <si>
    <t>Cost Price</t>
  </si>
  <si>
    <t>Revenue</t>
  </si>
  <si>
    <t xml:space="preserve">Profit </t>
  </si>
  <si>
    <t>Profit Margin</t>
  </si>
  <si>
    <t>Sum of Quantity</t>
  </si>
  <si>
    <t>Grand Total</t>
  </si>
  <si>
    <t>Year</t>
  </si>
  <si>
    <t>Month</t>
  </si>
  <si>
    <t>Day</t>
  </si>
  <si>
    <t>May</t>
  </si>
  <si>
    <t>Jun</t>
  </si>
  <si>
    <t>Nov</t>
  </si>
  <si>
    <t>Apr</t>
  </si>
  <si>
    <t>Dec</t>
  </si>
  <si>
    <t>Jan</t>
  </si>
  <si>
    <t>Mar</t>
  </si>
  <si>
    <t>Oct</t>
  </si>
  <si>
    <t>Jul</t>
  </si>
  <si>
    <t>Feb</t>
  </si>
  <si>
    <t>Aug</t>
  </si>
  <si>
    <t>Sep</t>
  </si>
  <si>
    <t>Revenue Generated by Product</t>
  </si>
  <si>
    <t>Total Revenue</t>
  </si>
  <si>
    <t xml:space="preserve">Total Profit </t>
  </si>
  <si>
    <t>Total Profit Margin</t>
  </si>
  <si>
    <t>Performance Over Time</t>
  </si>
  <si>
    <t>Overall Performance</t>
  </si>
  <si>
    <t>Total Quantity</t>
  </si>
  <si>
    <t>TOTAL REVENUE</t>
  </si>
  <si>
    <t>TOTAL PROFIT</t>
  </si>
  <si>
    <t>PROFIT MARGIN</t>
  </si>
  <si>
    <t>TOTAL UNITS</t>
  </si>
  <si>
    <t>% Actual_Margin</t>
  </si>
  <si>
    <t>Products Profitability &amp; Margin Performance</t>
  </si>
  <si>
    <t>Performance by Category &amp; Brand</t>
  </si>
  <si>
    <t>Top Countries by Revenue</t>
  </si>
  <si>
    <t xml:space="preserve">Total  Profit </t>
  </si>
  <si>
    <t>Column Labels</t>
  </si>
  <si>
    <t>How is the business performing overall?</t>
  </si>
  <si>
    <t>Product vs. Payment Breakdown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</si>
</sst>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_-;\-* #,##0_-;_-* &quot;-&quot;??_-;_-@_-"/>
    <numFmt numFmtId="165" formatCode="[$$-409]#,##0"/>
    <numFmt numFmtId="166" formatCode="0.0%"/>
  </numFmts>
  <fonts count="10" x14ac:knownFonts="1">
    <font>
      <sz val="11"/>
      <color theme="1"/>
      <name val="Calibri"/>
      <family val="2"/>
      <scheme val="minor"/>
    </font>
    <font>
      <sz val="11"/>
      <color theme="1"/>
      <name val="Calibri"/>
      <family val="2"/>
      <scheme val="minor"/>
    </font>
    <font>
      <b/>
      <sz val="11"/>
      <color rgb="FFFFFFFF"/>
      <name val="Calibri"/>
      <family val="2"/>
      <scheme val="minor"/>
    </font>
    <font>
      <b/>
      <sz val="11"/>
      <color rgb="FFFFFFFF"/>
      <name val="Calibri"/>
      <family val="2"/>
      <scheme val="minor"/>
    </font>
    <font>
      <b/>
      <sz val="11"/>
      <color theme="1"/>
      <name val="Calibri"/>
      <family val="2"/>
      <scheme val="minor"/>
    </font>
    <font>
      <b/>
      <sz val="11"/>
      <color rgb="FF595959"/>
      <name val="Calibri"/>
      <family val="2"/>
      <scheme val="minor"/>
    </font>
    <font>
      <b/>
      <sz val="12"/>
      <color rgb="FF595959"/>
      <name val="Calibri"/>
      <family val="2"/>
      <scheme val="minor"/>
    </font>
    <font>
      <b/>
      <sz val="12"/>
      <color theme="1"/>
      <name val="Calibri"/>
      <family val="2"/>
      <scheme val="minor"/>
    </font>
    <font>
      <sz val="9"/>
      <color theme="0" tint="-0.499984740745262"/>
      <name val="Calibri"/>
      <family val="2"/>
      <scheme val="minor"/>
    </font>
    <font>
      <sz val="9"/>
      <color theme="1"/>
      <name val="Calibri"/>
      <family val="2"/>
      <scheme val="minor"/>
    </font>
  </fonts>
  <fills count="7">
    <fill>
      <patternFill patternType="none"/>
    </fill>
    <fill>
      <patternFill patternType="gray125"/>
    </fill>
    <fill>
      <patternFill patternType="solid">
        <fgColor rgb="FF1F4E78"/>
        <bgColor indexed="64"/>
      </patternFill>
    </fill>
    <fill>
      <patternFill patternType="solid">
        <fgColor rgb="FFDBE5F1"/>
        <bgColor indexed="64"/>
      </patternFill>
    </fill>
    <fill>
      <patternFill patternType="solid">
        <fgColor theme="4" tint="-0.249977111117893"/>
        <bgColor indexed="64"/>
      </patternFill>
    </fill>
    <fill>
      <patternFill patternType="solid">
        <fgColor theme="0"/>
        <bgColor indexed="64"/>
      </patternFill>
    </fill>
    <fill>
      <patternFill patternType="solid">
        <fgColor theme="4" tint="0.59999389629810485"/>
        <bgColor indexed="64"/>
      </patternFill>
    </fill>
  </fills>
  <borders count="16">
    <border>
      <left/>
      <right/>
      <top/>
      <bottom/>
      <diagonal/>
    </border>
    <border>
      <left style="medium">
        <color rgb="FF95B3D7"/>
      </left>
      <right style="medium">
        <color rgb="FFCCCCCC"/>
      </right>
      <top style="medium">
        <color rgb="FF95B3D7"/>
      </top>
      <bottom style="medium">
        <color rgb="FF95B3D7"/>
      </bottom>
      <diagonal/>
    </border>
    <border>
      <left style="medium">
        <color rgb="FFCCCCCC"/>
      </left>
      <right style="medium">
        <color rgb="FFCCCCCC"/>
      </right>
      <top style="medium">
        <color rgb="FF95B3D7"/>
      </top>
      <bottom style="medium">
        <color rgb="FF95B3D7"/>
      </bottom>
      <diagonal/>
    </border>
    <border>
      <left style="medium">
        <color rgb="FFCCCCCC"/>
      </left>
      <right style="medium">
        <color rgb="FFCCCCCC"/>
      </right>
      <top style="medium">
        <color rgb="FFCCCCCC"/>
      </top>
      <bottom style="medium">
        <color rgb="FFCCCCCC"/>
      </bottom>
      <diagonal/>
    </border>
    <border>
      <left style="medium">
        <color rgb="FF95B3D7"/>
      </left>
      <right style="medium">
        <color rgb="FFCCCCCC"/>
      </right>
      <top style="medium">
        <color rgb="FFCCCCCC"/>
      </top>
      <bottom style="medium">
        <color rgb="FF95B3D7"/>
      </bottom>
      <diagonal/>
    </border>
    <border>
      <left style="medium">
        <color rgb="FFCCCCCC"/>
      </left>
      <right style="medium">
        <color rgb="FFCCCCCC"/>
      </right>
      <top style="medium">
        <color rgb="FFCCCCCC"/>
      </top>
      <bottom style="medium">
        <color rgb="FF95B3D7"/>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bottom/>
      <diagonal/>
    </border>
    <border>
      <left/>
      <right style="medium">
        <color rgb="FFCCCCCC"/>
      </right>
      <top style="medium">
        <color rgb="FF95B3D7"/>
      </top>
      <bottom style="medium">
        <color rgb="FF95B3D7"/>
      </bottom>
      <diagonal/>
    </border>
    <border>
      <left/>
      <right style="medium">
        <color rgb="FFCCCCCC"/>
      </right>
      <top style="medium">
        <color rgb="FFCCCCCC"/>
      </top>
      <bottom style="medium">
        <color rgb="FF95B3D7"/>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right style="medium">
        <color rgb="FFCCCCCC"/>
      </right>
      <top/>
      <bottom style="medium">
        <color rgb="FF95B3D7"/>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78">
    <xf numFmtId="0" fontId="0" fillId="0" borderId="0" xfId="0"/>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0" fillId="0" borderId="3" xfId="0" applyBorder="1" applyAlignment="1">
      <alignment wrapText="1"/>
    </xf>
    <xf numFmtId="0" fontId="0" fillId="3" borderId="4" xfId="0" applyFill="1" applyBorder="1" applyAlignment="1">
      <alignment horizontal="right" wrapText="1"/>
    </xf>
    <xf numFmtId="0" fontId="0" fillId="3" borderId="5" xfId="0" applyFill="1" applyBorder="1" applyAlignment="1">
      <alignment wrapText="1"/>
    </xf>
    <xf numFmtId="0" fontId="0" fillId="3" borderId="5" xfId="0" applyFill="1" applyBorder="1" applyAlignment="1">
      <alignment horizontal="right" wrapText="1"/>
    </xf>
    <xf numFmtId="0" fontId="0" fillId="0" borderId="4" xfId="0" applyBorder="1" applyAlignment="1">
      <alignment horizontal="right" wrapText="1"/>
    </xf>
    <xf numFmtId="0" fontId="0" fillId="0" borderId="5" xfId="0" applyBorder="1" applyAlignment="1">
      <alignment wrapText="1"/>
    </xf>
    <xf numFmtId="0" fontId="0" fillId="0" borderId="5" xfId="0" applyBorder="1" applyAlignment="1">
      <alignment horizontal="right" wrapText="1"/>
    </xf>
    <xf numFmtId="14" fontId="0" fillId="0" borderId="4" xfId="0" applyNumberFormat="1" applyBorder="1" applyAlignment="1">
      <alignment horizontal="right" wrapText="1"/>
    </xf>
    <xf numFmtId="14" fontId="0" fillId="3" borderId="4" xfId="0" applyNumberFormat="1" applyFill="1" applyBorder="1" applyAlignment="1">
      <alignment horizontal="right" wrapText="1"/>
    </xf>
    <xf numFmtId="0" fontId="0" fillId="3" borderId="3" xfId="0" applyFill="1" applyBorder="1" applyAlignment="1">
      <alignment wrapText="1"/>
    </xf>
    <xf numFmtId="0" fontId="0" fillId="0" borderId="3" xfId="0" applyBorder="1" applyAlignment="1">
      <alignment horizontal="right" wrapText="1"/>
    </xf>
    <xf numFmtId="0" fontId="0" fillId="0" borderId="6" xfId="0" applyBorder="1" applyAlignment="1">
      <alignment wrapText="1"/>
    </xf>
    <xf numFmtId="0" fontId="2" fillId="2" borderId="7" xfId="0" applyFont="1" applyFill="1" applyBorder="1" applyAlignment="1">
      <alignment horizontal="center" vertical="center" wrapText="1"/>
    </xf>
    <xf numFmtId="14" fontId="0" fillId="0" borderId="9" xfId="0" applyNumberFormat="1" applyBorder="1" applyAlignment="1">
      <alignment horizontal="right" wrapText="1"/>
    </xf>
    <xf numFmtId="14" fontId="0" fillId="3" borderId="9" xfId="0" applyNumberFormat="1" applyFill="1" applyBorder="1" applyAlignment="1">
      <alignment horizontal="right" wrapText="1"/>
    </xf>
    <xf numFmtId="0" fontId="0" fillId="0" borderId="11" xfId="0" applyBorder="1" applyAlignment="1">
      <alignment horizontal="right" wrapText="1"/>
    </xf>
    <xf numFmtId="0" fontId="3" fillId="2" borderId="7" xfId="0" applyFont="1" applyFill="1" applyBorder="1" applyAlignment="1">
      <alignment horizontal="center" vertical="center" wrapText="1"/>
    </xf>
    <xf numFmtId="9" fontId="0" fillId="0" borderId="0" xfId="1" applyFont="1"/>
    <xf numFmtId="9" fontId="0" fillId="0" borderId="0" xfId="0" applyNumberFormat="1"/>
    <xf numFmtId="0" fontId="0" fillId="4" borderId="0" xfId="0" applyFill="1"/>
    <xf numFmtId="0" fontId="0" fillId="0" borderId="0" xfId="0" pivotButton="1"/>
    <xf numFmtId="0" fontId="0" fillId="0" borderId="0" xfId="0" applyAlignment="1">
      <alignment horizontal="left"/>
    </xf>
    <xf numFmtId="14" fontId="0" fillId="0" borderId="0" xfId="0" applyNumberFormat="1"/>
    <xf numFmtId="14" fontId="2" fillId="2" borderId="8" xfId="0" applyNumberFormat="1" applyFont="1" applyFill="1" applyBorder="1" applyAlignment="1">
      <alignment horizontal="center" vertical="center" wrapText="1"/>
    </xf>
    <xf numFmtId="14" fontId="0" fillId="0" borderId="10" xfId="0" applyNumberFormat="1" applyBorder="1" applyAlignment="1">
      <alignment horizontal="right" wrapText="1"/>
    </xf>
    <xf numFmtId="14" fontId="0" fillId="3" borderId="1" xfId="0" applyNumberFormat="1" applyFill="1" applyBorder="1" applyAlignment="1">
      <alignment horizontal="right" wrapText="1"/>
    </xf>
    <xf numFmtId="14" fontId="0" fillId="3" borderId="12" xfId="0" applyNumberFormat="1" applyFill="1" applyBorder="1" applyAlignment="1">
      <alignment horizontal="right" wrapText="1"/>
    </xf>
    <xf numFmtId="164" fontId="0" fillId="0" borderId="0" xfId="0" applyNumberFormat="1"/>
    <xf numFmtId="0" fontId="0" fillId="5" borderId="0" xfId="0" applyFill="1"/>
    <xf numFmtId="0" fontId="0" fillId="0" borderId="0" xfId="0" applyAlignment="1">
      <alignment horizontal="center"/>
    </xf>
    <xf numFmtId="165" fontId="0" fillId="0" borderId="0" xfId="0" applyNumberFormat="1"/>
    <xf numFmtId="0" fontId="6" fillId="0" borderId="0" xfId="0" applyFont="1" applyAlignment="1">
      <alignment vertical="center" readingOrder="1"/>
    </xf>
    <xf numFmtId="0" fontId="7" fillId="0" borderId="0" xfId="0" applyFont="1" applyAlignment="1">
      <alignment horizontal="center"/>
    </xf>
    <xf numFmtId="0" fontId="4" fillId="0" borderId="0" xfId="0" applyFont="1" applyAlignment="1">
      <alignment horizontal="center"/>
    </xf>
    <xf numFmtId="14" fontId="0" fillId="0" borderId="0" xfId="0" applyNumberFormat="1" applyBorder="1"/>
    <xf numFmtId="0" fontId="0" fillId="3" borderId="11" xfId="0" applyFill="1" applyBorder="1" applyAlignment="1">
      <alignment wrapText="1"/>
    </xf>
    <xf numFmtId="0" fontId="0" fillId="0" borderId="11" xfId="0" applyBorder="1" applyAlignment="1">
      <alignment wrapText="1"/>
    </xf>
    <xf numFmtId="0" fontId="0" fillId="0" borderId="0" xfId="0" applyBorder="1"/>
    <xf numFmtId="9" fontId="0" fillId="0" borderId="0" xfId="1" applyFont="1" applyBorder="1"/>
    <xf numFmtId="0" fontId="8" fillId="0" borderId="0" xfId="0" applyFont="1"/>
    <xf numFmtId="0" fontId="4" fillId="0" borderId="0" xfId="0" applyFont="1" applyAlignment="1"/>
    <xf numFmtId="0" fontId="5" fillId="0" borderId="0" xfId="0" applyFont="1" applyAlignment="1">
      <alignment vertical="center" readingOrder="1"/>
    </xf>
    <xf numFmtId="166" fontId="0" fillId="0" borderId="0" xfId="0" applyNumberFormat="1"/>
    <xf numFmtId="0" fontId="4" fillId="0" borderId="0" xfId="0" applyFont="1" applyAlignment="1">
      <alignment horizontal="center" wrapText="1"/>
    </xf>
    <xf numFmtId="3" fontId="0" fillId="0" borderId="0" xfId="0" applyNumberFormat="1"/>
    <xf numFmtId="0" fontId="0" fillId="0" borderId="0" xfId="0" pivotButton="1" applyAlignment="1">
      <alignment horizontal="center" vertical="center"/>
    </xf>
    <xf numFmtId="0" fontId="0" fillId="0" borderId="0" xfId="0" applyAlignment="1">
      <alignment horizontal="center" vertical="center"/>
    </xf>
    <xf numFmtId="0" fontId="0" fillId="0" borderId="6" xfId="0" applyBorder="1" applyAlignment="1">
      <alignment horizontal="center"/>
    </xf>
    <xf numFmtId="0" fontId="0" fillId="0" borderId="0" xfId="0" applyBorder="1" applyAlignment="1">
      <alignment wrapText="1"/>
    </xf>
    <xf numFmtId="0" fontId="0" fillId="0" borderId="0" xfId="0" applyBorder="1" applyAlignment="1">
      <alignment horizontal="right" wrapText="1"/>
    </xf>
    <xf numFmtId="0" fontId="4" fillId="0" borderId="3" xfId="0" applyFont="1" applyBorder="1" applyAlignment="1">
      <alignment wrapText="1"/>
    </xf>
    <xf numFmtId="0" fontId="4" fillId="0" borderId="0" xfId="0" applyFont="1"/>
    <xf numFmtId="0" fontId="4" fillId="0" borderId="0" xfId="0" applyFont="1" applyBorder="1"/>
    <xf numFmtId="0" fontId="4" fillId="0" borderId="0" xfId="0" applyFont="1" applyBorder="1" applyAlignment="1">
      <alignment wrapText="1"/>
    </xf>
    <xf numFmtId="0" fontId="0" fillId="0" borderId="0" xfId="0" applyBorder="1" applyAlignment="1">
      <alignment horizontal="center"/>
    </xf>
    <xf numFmtId="0" fontId="0" fillId="6" borderId="0" xfId="0" applyFill="1"/>
    <xf numFmtId="0" fontId="9" fillId="0" borderId="0" xfId="0" applyFont="1" applyAlignment="1">
      <alignment horizontal="left"/>
    </xf>
    <xf numFmtId="0" fontId="0" fillId="0" borderId="0" xfId="0" applyFont="1" applyAlignment="1">
      <alignment horizontal="left"/>
    </xf>
    <xf numFmtId="0" fontId="4" fillId="0" borderId="0" xfId="0" applyFont="1" applyBorder="1" applyAlignment="1">
      <alignment horizontal="center"/>
    </xf>
    <xf numFmtId="0" fontId="4" fillId="0" borderId="0" xfId="0" applyFont="1" applyAlignment="1">
      <alignment horizontal="center"/>
    </xf>
    <xf numFmtId="0" fontId="7" fillId="6" borderId="13" xfId="0" applyFont="1" applyFill="1" applyBorder="1" applyAlignment="1">
      <alignment horizontal="left"/>
    </xf>
    <xf numFmtId="0" fontId="7" fillId="6" borderId="14" xfId="0" applyFont="1" applyFill="1" applyBorder="1" applyAlignment="1">
      <alignment horizontal="left"/>
    </xf>
    <xf numFmtId="0" fontId="7" fillId="6" borderId="15" xfId="0" applyFont="1" applyFill="1" applyBorder="1" applyAlignment="1">
      <alignment horizontal="left"/>
    </xf>
    <xf numFmtId="0" fontId="4" fillId="6" borderId="13" xfId="0" applyFont="1" applyFill="1" applyBorder="1" applyAlignment="1">
      <alignment horizontal="left"/>
    </xf>
    <xf numFmtId="0" fontId="4" fillId="6" borderId="14" xfId="0" applyFont="1" applyFill="1" applyBorder="1" applyAlignment="1">
      <alignment horizontal="left"/>
    </xf>
    <xf numFmtId="0" fontId="4" fillId="6" borderId="15" xfId="0" applyFont="1" applyFill="1" applyBorder="1" applyAlignment="1">
      <alignment horizontal="left"/>
    </xf>
    <xf numFmtId="0" fontId="5" fillId="6" borderId="13" xfId="0" applyFont="1" applyFill="1" applyBorder="1" applyAlignment="1">
      <alignment horizontal="left" vertical="center" readingOrder="1"/>
    </xf>
    <xf numFmtId="0" fontId="5" fillId="6" borderId="14" xfId="0" applyFont="1" applyFill="1" applyBorder="1" applyAlignment="1">
      <alignment horizontal="left" vertical="center" readingOrder="1"/>
    </xf>
    <xf numFmtId="0" fontId="5" fillId="6" borderId="15" xfId="0" applyFont="1" applyFill="1" applyBorder="1" applyAlignment="1">
      <alignment horizontal="left" vertical="center" readingOrder="1"/>
    </xf>
    <xf numFmtId="0" fontId="4" fillId="6" borderId="13" xfId="0" applyFont="1" applyFill="1" applyBorder="1" applyAlignment="1">
      <alignment horizontal="left" wrapText="1"/>
    </xf>
    <xf numFmtId="0" fontId="4" fillId="6" borderId="14" xfId="0" applyFont="1" applyFill="1" applyBorder="1" applyAlignment="1">
      <alignment horizontal="left" wrapText="1"/>
    </xf>
    <xf numFmtId="0" fontId="4" fillId="6" borderId="15" xfId="0" applyFont="1" applyFill="1" applyBorder="1" applyAlignment="1">
      <alignment horizontal="left" wrapText="1"/>
    </xf>
    <xf numFmtId="0" fontId="5" fillId="6" borderId="13" xfId="0" applyFont="1" applyFill="1" applyBorder="1" applyAlignment="1">
      <alignment horizontal="center" vertical="center" readingOrder="1"/>
    </xf>
    <xf numFmtId="0" fontId="5" fillId="6" borderId="14" xfId="0" applyFont="1" applyFill="1" applyBorder="1" applyAlignment="1">
      <alignment horizontal="center" vertical="center" readingOrder="1"/>
    </xf>
    <xf numFmtId="0" fontId="5" fillId="6" borderId="15" xfId="0" applyFont="1" applyFill="1" applyBorder="1" applyAlignment="1">
      <alignment horizontal="center" vertical="center" readingOrder="1"/>
    </xf>
  </cellXfs>
  <cellStyles count="2">
    <cellStyle name="Normal" xfId="0" builtinId="0"/>
    <cellStyle name="Percent" xfId="1" builtinId="5"/>
  </cellStyles>
  <dxfs count="86">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numFmt numFmtId="3" formatCode="#,##0"/>
    </dxf>
    <dxf>
      <numFmt numFmtId="165" formatCode="[$$-409]#,##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165" formatCode="[$$-409]#,##0"/>
    </dxf>
    <dxf>
      <alignment horizontal="center" readingOrder="0"/>
    </dxf>
    <dxf>
      <alignment horizontal="center" readingOrder="0"/>
    </dxf>
    <dxf>
      <numFmt numFmtId="165" formatCode="[$$-409]#,##0"/>
    </dxf>
    <dxf>
      <numFmt numFmtId="165" formatCode="[$$-409]#,##0"/>
    </dxf>
    <dxf>
      <numFmt numFmtId="35" formatCode="_-* #,##0.00_-;\-* #,##0.00_-;_-* &quot;-&quot;??_-;_-@_-"/>
    </dxf>
    <dxf>
      <numFmt numFmtId="165" formatCode="[$$-409]#,##0"/>
    </dxf>
    <dxf>
      <numFmt numFmtId="168" formatCode="[$$-409]#,##0.0"/>
    </dxf>
    <dxf>
      <numFmt numFmtId="165" formatCode="[$$-409]#,##0"/>
    </dxf>
    <dxf>
      <numFmt numFmtId="168" formatCode="[$$-409]#,##0.0"/>
    </dxf>
    <dxf>
      <numFmt numFmtId="167" formatCode="[$$-409]#,##0.00"/>
    </dxf>
    <dxf>
      <numFmt numFmtId="167" formatCode="[$$-409]#,##0.00"/>
    </dxf>
    <dxf>
      <alignment horizontal="center" readingOrder="0"/>
    </dxf>
    <dxf>
      <alignment horizontal="center" readingOrder="0"/>
    </dxf>
    <dxf>
      <numFmt numFmtId="166" formatCode="0.0%"/>
    </dxf>
    <dxf>
      <alignment horizontal="center" readingOrder="0"/>
    </dxf>
    <dxf>
      <numFmt numFmtId="165" formatCode="[$$-409]#,##0"/>
    </dxf>
    <dxf>
      <numFmt numFmtId="168" formatCode="[$$-409]#,##0.0"/>
    </dxf>
    <dxf>
      <numFmt numFmtId="167" formatCode="[$$-409]#,##0.00"/>
    </dxf>
    <dxf>
      <numFmt numFmtId="165" formatCode="[$$-409]#,##0"/>
    </dxf>
    <dxf>
      <numFmt numFmtId="164" formatCode="_-* #,##0_-;\-* #,##0_-;_-* &quot;-&quot;??_-;_-@_-"/>
    </dxf>
    <dxf>
      <numFmt numFmtId="169" formatCode="_-* #,##0.0_-;\-* #,##0.0_-;_-* &quot;-&quot;??_-;_-@_-"/>
    </dxf>
    <dxf>
      <numFmt numFmtId="35" formatCode="_-* #,##0.00_-;\-* #,##0.00_-;_-* &quot;-&quot;??_-;_-@_-"/>
    </dxf>
    <dxf>
      <numFmt numFmtId="13" formatCode="0%"/>
    </dxf>
    <dxf>
      <alignment horizontal="center" readingOrder="0"/>
    </dxf>
    <dxf>
      <alignment horizontal="center" readingOrder="0"/>
    </dxf>
    <dxf>
      <numFmt numFmtId="165" formatCode="[$$-409]#,##0"/>
    </dxf>
    <dxf>
      <numFmt numFmtId="165" formatCode="[$$-409]#,##0"/>
    </dxf>
    <dxf>
      <numFmt numFmtId="35" formatCode="_-* #,##0.00_-;\-* #,##0.00_-;_-* &quot;-&quot;??_-;_-@_-"/>
    </dxf>
    <dxf>
      <font>
        <b val="0"/>
        <i val="0"/>
        <strike val="0"/>
        <condense val="0"/>
        <extend val="0"/>
        <outline val="0"/>
        <shadow val="0"/>
        <u val="none"/>
        <vertAlign val="baseline"/>
        <sz val="11"/>
        <color theme="1"/>
        <name val="Calibri"/>
        <scheme val="minor"/>
      </font>
      <numFmt numFmtId="13" formatCode="0%"/>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numFmt numFmtId="167" formatCode="[$$-409]#,##0.00"/>
    </dxf>
    <dxf>
      <border diagonalUp="0" diagonalDown="0" outline="0">
        <left/>
        <right/>
        <top/>
        <bottom/>
      </border>
    </dxf>
    <dxf>
      <border diagonalUp="0" diagonalDown="0" outline="0">
        <left/>
        <right/>
        <top/>
        <bottom/>
      </border>
    </dxf>
    <dxf>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95B3D7"/>
        </bottom>
        <vertical/>
        <horizontal/>
      </border>
    </dxf>
    <dxf>
      <alignment horizontal="right" vertical="bottom" textRotation="0" wrapText="1" indent="0" justifyLastLine="0" shrinkToFit="0" readingOrder="0"/>
      <border diagonalUp="0" diagonalDown="0" outline="0">
        <left style="medium">
          <color rgb="FFCCCCCC"/>
        </left>
        <right style="medium">
          <color rgb="FFCCCCCC"/>
        </right>
        <top style="medium">
          <color rgb="FFCCCCCC"/>
        </top>
        <bottom/>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95B3D7"/>
        </bottom>
        <vertical/>
        <horizontal/>
      </border>
    </dxf>
    <dxf>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95B3D7"/>
        </bottom>
        <vertical/>
        <horizontal/>
      </border>
    </dxf>
    <dxf>
      <fill>
        <patternFill patternType="solid">
          <fgColor indexed="64"/>
          <bgColor rgb="FFDBE5F1"/>
        </patternFill>
      </fill>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border>
    </dxf>
    <dxf>
      <fill>
        <patternFill patternType="solid">
          <fgColor indexed="64"/>
          <bgColor rgb="FFDBE5F1"/>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95B3D7"/>
        </bottom>
        <vertical/>
        <horizontal/>
      </border>
    </dxf>
    <dxf>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95B3D7"/>
        </bottom>
        <vertical/>
        <horizontal/>
      </border>
    </dxf>
    <dxf>
      <fill>
        <patternFill patternType="solid">
          <fgColor indexed="64"/>
          <bgColor rgb="FFDBE5F1"/>
        </patternFill>
      </fill>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border>
    </dxf>
    <dxf>
      <fill>
        <patternFill patternType="solid">
          <fgColor indexed="64"/>
          <bgColor rgb="FFDBE5F1"/>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95B3D7"/>
        </bottom>
        <vertical/>
        <horizontal/>
      </border>
    </dxf>
    <dxf>
      <fill>
        <patternFill patternType="solid">
          <fgColor indexed="64"/>
          <bgColor rgb="FFDBE5F1"/>
        </patternFill>
      </fill>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border>
    </dxf>
    <dxf>
      <fill>
        <patternFill patternType="solid">
          <fgColor indexed="64"/>
          <bgColor rgb="FFDBE5F1"/>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95B3D7"/>
        </bottom>
        <vertical/>
        <horizontal/>
      </border>
    </dxf>
    <dxf>
      <numFmt numFmtId="19" formatCode="dd/mm/yyyy"/>
      <alignment horizontal="right" vertical="bottom" textRotation="0" wrapText="1" indent="0" justifyLastLine="0" shrinkToFit="0" readingOrder="0"/>
      <border diagonalUp="0" diagonalDown="0" outline="0">
        <left/>
        <right style="medium">
          <color rgb="FFCCCCCC"/>
        </right>
        <top style="medium">
          <color rgb="FFCCCCCC"/>
        </top>
        <bottom/>
      </border>
    </dxf>
    <dxf>
      <numFmt numFmtId="19" formatCode="dd/mm/yyyy"/>
      <alignment horizontal="right" vertical="bottom" textRotation="0" wrapText="1" indent="0" justifyLastLine="0" shrinkToFit="0" readingOrder="0"/>
      <border diagonalUp="0" diagonalDown="0">
        <left/>
        <right style="medium">
          <color rgb="FFCCCCCC"/>
        </right>
        <top style="medium">
          <color rgb="FFCCCCCC"/>
        </top>
        <bottom style="medium">
          <color rgb="FF95B3D7"/>
        </bottom>
        <vertical/>
        <horizontal/>
      </border>
    </dxf>
    <dxf>
      <numFmt numFmtId="19" formatCode="dd/mm/yyyy"/>
      <alignment horizontal="right" vertical="bottom" textRotation="0" wrapText="1" indent="0" justifyLastLine="0" shrinkToFit="0" readingOrder="0"/>
      <border diagonalUp="0" diagonalDown="0" outline="0">
        <left/>
        <right style="medium">
          <color rgb="FFCCCCCC"/>
        </right>
        <top style="medium">
          <color rgb="FFCCCCCC"/>
        </top>
        <bottom/>
      </border>
    </dxf>
    <dxf>
      <numFmt numFmtId="19" formatCode="dd/mm/yyyy"/>
      <alignment horizontal="right" vertical="bottom" textRotation="0" wrapText="1" indent="0" justifyLastLine="0" shrinkToFit="0" readingOrder="0"/>
      <border diagonalUp="0" diagonalDown="0">
        <left/>
        <right style="medium">
          <color rgb="FFCCCCCC"/>
        </right>
        <top style="medium">
          <color rgb="FFCCCCCC"/>
        </top>
        <bottom style="medium">
          <color rgb="FF95B3D7"/>
        </bottom>
        <vertical/>
        <horizontal/>
      </border>
    </dxf>
    <dxf>
      <numFmt numFmtId="19" formatCode="dd/mm/yyyy"/>
      <alignment horizontal="right" vertical="bottom" textRotation="0" wrapText="1" indent="0" justifyLastLine="0" shrinkToFit="0" readingOrder="0"/>
      <border diagonalUp="0" diagonalDown="0" outline="0">
        <left/>
        <right style="medium">
          <color rgb="FFCCCCCC"/>
        </right>
        <top style="medium">
          <color rgb="FFCCCCCC"/>
        </top>
        <bottom/>
      </border>
    </dxf>
    <dxf>
      <numFmt numFmtId="19" formatCode="dd/mm/yyyy"/>
      <alignment horizontal="right" vertical="bottom" textRotation="0" wrapText="1" indent="0" justifyLastLine="0" shrinkToFit="0" readingOrder="0"/>
      <border diagonalUp="0" diagonalDown="0">
        <left/>
        <right style="medium">
          <color rgb="FFCCCCCC"/>
        </right>
        <top style="medium">
          <color rgb="FFCCCCCC"/>
        </top>
        <bottom style="medium">
          <color rgb="FF95B3D7"/>
        </bottom>
        <vertical/>
        <horizontal/>
      </border>
    </dxf>
    <dxf>
      <numFmt numFmtId="19" formatCode="dd/mm/yyyy"/>
      <border diagonalUp="0" diagonalDown="0" outline="0">
        <left/>
        <right/>
        <top/>
        <bottom/>
      </border>
    </dxf>
    <dxf>
      <border outline="0">
        <left style="medium">
          <color rgb="FF95B3D7"/>
        </left>
      </border>
    </dxf>
    <dxf>
      <font>
        <b/>
        <i val="0"/>
        <strike val="0"/>
        <condense val="0"/>
        <extend val="0"/>
        <outline val="0"/>
        <shadow val="0"/>
        <u val="none"/>
        <vertAlign val="baseline"/>
        <sz val="11"/>
        <color rgb="FFFFFFFF"/>
        <name val="Calibri"/>
        <scheme val="minor"/>
      </font>
      <fill>
        <patternFill patternType="solid">
          <fgColor indexed="64"/>
          <bgColor rgb="FF1F4E78"/>
        </patternFill>
      </fill>
      <alignment horizontal="center" vertical="center"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&amp; Profitability Dashboard1.xlsx]Pivot_Table!PivotTable1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baseline="0"/>
              <a:t>Performance Over Time</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6"/>
        <c:spPr>
          <a:solidFill>
            <a:schemeClr val="accent1"/>
          </a:solidFill>
          <a:ln>
            <a:noFill/>
          </a:ln>
          <a:effectLst/>
        </c:spPr>
        <c:marker>
          <c:symbol val="none"/>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a:noFill/>
          </a:ln>
          <a:effectLst/>
        </c:spPr>
        <c:marker>
          <c:symbol val="none"/>
        </c:marker>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0"/>
        <c:spPr>
          <a:solidFill>
            <a:schemeClr val="accent1"/>
          </a:solidFill>
          <a:ln>
            <a:noFill/>
          </a:ln>
          <a:effectLst/>
        </c:spPr>
        <c:marker>
          <c:symbol val="none"/>
        </c:marker>
      </c:pivotFmt>
      <c:pivotFmt>
        <c:idx val="1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2"/>
        <c:spPr>
          <a:solidFill>
            <a:schemeClr val="accent1"/>
          </a:solidFill>
          <a:ln>
            <a:noFill/>
          </a:ln>
          <a:effectLst/>
        </c:spPr>
        <c:marker>
          <c:symbol val="none"/>
        </c:marker>
      </c:pivotFmt>
      <c:pivotFmt>
        <c:idx val="13"/>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barChart>
        <c:barDir val="col"/>
        <c:grouping val="clustered"/>
        <c:varyColors val="0"/>
        <c:ser>
          <c:idx val="0"/>
          <c:order val="0"/>
          <c:tx>
            <c:strRef>
              <c:f>Pivot_Table!$C$18</c:f>
              <c:strCache>
                <c:ptCount val="1"/>
                <c:pt idx="0">
                  <c:v>Revenue</c:v>
                </c:pt>
              </c:strCache>
            </c:strRef>
          </c:tx>
          <c:spPr>
            <a:solidFill>
              <a:schemeClr val="accent1"/>
            </a:solidFill>
            <a:ln>
              <a:noFill/>
            </a:ln>
            <a:effectLst/>
          </c:spPr>
          <c:invertIfNegative val="0"/>
          <c:cat>
            <c:strRef>
              <c:f>Pivot_Table!$B$19:$B$31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Pivot_Table!$C$19:$C$31</c:f>
              <c:numCache>
                <c:formatCode>[$$-409]#,##0</c:formatCode>
                <c:ptCount val="12"/>
                <c:pt idx="0">
                  <c:v>26803</c:v>
                </c:pt>
                <c:pt idx="1">
                  <c:v>24097</c:v>
                </c:pt>
                <c:pt idx="2">
                  <c:v>27137</c:v>
                </c:pt>
                <c:pt idx="3">
                  <c:v>28019</c:v>
                </c:pt>
                <c:pt idx="4">
                  <c:v>27142</c:v>
                </c:pt>
                <c:pt idx="5">
                  <c:v>38635</c:v>
                </c:pt>
                <c:pt idx="6">
                  <c:v>34791</c:v>
                </c:pt>
                <c:pt idx="7">
                  <c:v>1341</c:v>
                </c:pt>
                <c:pt idx="8">
                  <c:v>1493</c:v>
                </c:pt>
                <c:pt idx="9">
                  <c:v>42974</c:v>
                </c:pt>
                <c:pt idx="10">
                  <c:v>55985</c:v>
                </c:pt>
                <c:pt idx="11">
                  <c:v>46631</c:v>
                </c:pt>
              </c:numCache>
            </c:numRef>
          </c:val>
          <c:extLst>
            <c:ext xmlns:c16="http://schemas.microsoft.com/office/drawing/2014/chart" uri="{C3380CC4-5D6E-409C-BE32-E72D297353CC}">
              <c16:uniqueId val="{00000000-D434-4C62-A11E-4B4219C66FC9}"/>
            </c:ext>
          </c:extLst>
        </c:ser>
        <c:dLbls>
          <c:showLegendKey val="0"/>
          <c:showVal val="0"/>
          <c:showCatName val="0"/>
          <c:showSerName val="0"/>
          <c:showPercent val="0"/>
          <c:showBubbleSize val="0"/>
        </c:dLbls>
        <c:gapWidth val="219"/>
        <c:axId val="1103384239"/>
        <c:axId val="1103392559"/>
      </c:barChart>
      <c:lineChart>
        <c:grouping val="standard"/>
        <c:varyColors val="0"/>
        <c:ser>
          <c:idx val="1"/>
          <c:order val="1"/>
          <c:tx>
            <c:strRef>
              <c:f>Pivot_Table!$D$18</c:f>
              <c:strCache>
                <c:ptCount val="1"/>
                <c:pt idx="0">
                  <c:v>Total Profit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Pivot_Table!$B$19:$B$31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Pivot_Table!$D$19:$D$31</c:f>
              <c:numCache>
                <c:formatCode>[$$-409]#,##0</c:formatCode>
                <c:ptCount val="12"/>
                <c:pt idx="0">
                  <c:v>12480</c:v>
                </c:pt>
                <c:pt idx="1">
                  <c:v>11060</c:v>
                </c:pt>
                <c:pt idx="2">
                  <c:v>12364</c:v>
                </c:pt>
                <c:pt idx="3">
                  <c:v>12679</c:v>
                </c:pt>
                <c:pt idx="4">
                  <c:v>12359</c:v>
                </c:pt>
                <c:pt idx="5">
                  <c:v>17665</c:v>
                </c:pt>
                <c:pt idx="6">
                  <c:v>15786</c:v>
                </c:pt>
                <c:pt idx="7">
                  <c:v>594</c:v>
                </c:pt>
                <c:pt idx="8">
                  <c:v>667</c:v>
                </c:pt>
                <c:pt idx="9">
                  <c:v>19633</c:v>
                </c:pt>
                <c:pt idx="10">
                  <c:v>25778</c:v>
                </c:pt>
                <c:pt idx="11">
                  <c:v>21270</c:v>
                </c:pt>
              </c:numCache>
            </c:numRef>
          </c:val>
          <c:smooth val="0"/>
          <c:extLst>
            <c:ext xmlns:c16="http://schemas.microsoft.com/office/drawing/2014/chart" uri="{C3380CC4-5D6E-409C-BE32-E72D297353CC}">
              <c16:uniqueId val="{00000001-D434-4C62-A11E-4B4219C66FC9}"/>
            </c:ext>
          </c:extLst>
        </c:ser>
        <c:dLbls>
          <c:showLegendKey val="0"/>
          <c:showVal val="0"/>
          <c:showCatName val="0"/>
          <c:showSerName val="0"/>
          <c:showPercent val="0"/>
          <c:showBubbleSize val="0"/>
        </c:dLbls>
        <c:marker val="1"/>
        <c:smooth val="0"/>
        <c:axId val="1103384239"/>
        <c:axId val="1103392559"/>
      </c:lineChart>
      <c:catAx>
        <c:axId val="11033842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392559"/>
        <c:crosses val="autoZero"/>
        <c:auto val="1"/>
        <c:lblAlgn val="ctr"/>
        <c:lblOffset val="100"/>
        <c:noMultiLvlLbl val="0"/>
      </c:catAx>
      <c:valAx>
        <c:axId val="1103392559"/>
        <c:scaling>
          <c:orientation val="minMax"/>
        </c:scaling>
        <c:delete val="0"/>
        <c:axPos val="l"/>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384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&amp; Profitability Dashboard1.xlsx]Pivot_Table!PivotTable1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baseline="0"/>
              <a:t>Performance Over Time</a:t>
            </a:r>
            <a:endParaRPr lang="en-US" sz="1200"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6"/>
        <c:spPr>
          <a:solidFill>
            <a:schemeClr val="accent1"/>
          </a:solidFill>
          <a:ln>
            <a:noFill/>
          </a:ln>
          <a:effectLst/>
        </c:spPr>
        <c:marker>
          <c:symbol val="none"/>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a:noFill/>
          </a:ln>
          <a:effectLst/>
        </c:spPr>
        <c:marker>
          <c:symbol val="none"/>
        </c:marker>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barChart>
        <c:barDir val="col"/>
        <c:grouping val="clustered"/>
        <c:varyColors val="0"/>
        <c:ser>
          <c:idx val="0"/>
          <c:order val="0"/>
          <c:tx>
            <c:strRef>
              <c:f>Pivot_Table!$C$18</c:f>
              <c:strCache>
                <c:ptCount val="1"/>
                <c:pt idx="0">
                  <c:v>Revenue</c:v>
                </c:pt>
              </c:strCache>
            </c:strRef>
          </c:tx>
          <c:spPr>
            <a:solidFill>
              <a:schemeClr val="accent1"/>
            </a:solidFill>
            <a:ln>
              <a:noFill/>
            </a:ln>
            <a:effectLst/>
          </c:spPr>
          <c:invertIfNegative val="0"/>
          <c:cat>
            <c:strRef>
              <c:f>Pivot_Table!$B$19:$B$31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Pivot_Table!$C$19:$C$31</c:f>
              <c:numCache>
                <c:formatCode>[$$-409]#,##0</c:formatCode>
                <c:ptCount val="12"/>
                <c:pt idx="0">
                  <c:v>26803</c:v>
                </c:pt>
                <c:pt idx="1">
                  <c:v>24097</c:v>
                </c:pt>
                <c:pt idx="2">
                  <c:v>27137</c:v>
                </c:pt>
                <c:pt idx="3">
                  <c:v>28019</c:v>
                </c:pt>
                <c:pt idx="4">
                  <c:v>27142</c:v>
                </c:pt>
                <c:pt idx="5">
                  <c:v>38635</c:v>
                </c:pt>
                <c:pt idx="6">
                  <c:v>34791</c:v>
                </c:pt>
                <c:pt idx="7">
                  <c:v>1341</c:v>
                </c:pt>
                <c:pt idx="8">
                  <c:v>1493</c:v>
                </c:pt>
                <c:pt idx="9">
                  <c:v>42974</c:v>
                </c:pt>
                <c:pt idx="10">
                  <c:v>55985</c:v>
                </c:pt>
                <c:pt idx="11">
                  <c:v>46631</c:v>
                </c:pt>
              </c:numCache>
            </c:numRef>
          </c:val>
          <c:extLst>
            <c:ext xmlns:c16="http://schemas.microsoft.com/office/drawing/2014/chart" uri="{C3380CC4-5D6E-409C-BE32-E72D297353CC}">
              <c16:uniqueId val="{00000000-0E93-4450-894C-6DD51D0363AF}"/>
            </c:ext>
          </c:extLst>
        </c:ser>
        <c:dLbls>
          <c:showLegendKey val="0"/>
          <c:showVal val="0"/>
          <c:showCatName val="0"/>
          <c:showSerName val="0"/>
          <c:showPercent val="0"/>
          <c:showBubbleSize val="0"/>
        </c:dLbls>
        <c:gapWidth val="219"/>
        <c:axId val="1103384239"/>
        <c:axId val="1103392559"/>
      </c:barChart>
      <c:lineChart>
        <c:grouping val="standard"/>
        <c:varyColors val="0"/>
        <c:ser>
          <c:idx val="1"/>
          <c:order val="1"/>
          <c:tx>
            <c:strRef>
              <c:f>Pivot_Table!$D$18</c:f>
              <c:strCache>
                <c:ptCount val="1"/>
                <c:pt idx="0">
                  <c:v>Total Profit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Pivot_Table!$B$19:$B$31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Pivot_Table!$D$19:$D$31</c:f>
              <c:numCache>
                <c:formatCode>[$$-409]#,##0</c:formatCode>
                <c:ptCount val="12"/>
                <c:pt idx="0">
                  <c:v>12480</c:v>
                </c:pt>
                <c:pt idx="1">
                  <c:v>11060</c:v>
                </c:pt>
                <c:pt idx="2">
                  <c:v>12364</c:v>
                </c:pt>
                <c:pt idx="3">
                  <c:v>12679</c:v>
                </c:pt>
                <c:pt idx="4">
                  <c:v>12359</c:v>
                </c:pt>
                <c:pt idx="5">
                  <c:v>17665</c:v>
                </c:pt>
                <c:pt idx="6">
                  <c:v>15786</c:v>
                </c:pt>
                <c:pt idx="7">
                  <c:v>594</c:v>
                </c:pt>
                <c:pt idx="8">
                  <c:v>667</c:v>
                </c:pt>
                <c:pt idx="9">
                  <c:v>19633</c:v>
                </c:pt>
                <c:pt idx="10">
                  <c:v>25778</c:v>
                </c:pt>
                <c:pt idx="11">
                  <c:v>21270</c:v>
                </c:pt>
              </c:numCache>
            </c:numRef>
          </c:val>
          <c:smooth val="0"/>
          <c:extLst>
            <c:ext xmlns:c16="http://schemas.microsoft.com/office/drawing/2014/chart" uri="{C3380CC4-5D6E-409C-BE32-E72D297353CC}">
              <c16:uniqueId val="{00000001-0E93-4450-894C-6DD51D0363AF}"/>
            </c:ext>
          </c:extLst>
        </c:ser>
        <c:dLbls>
          <c:showLegendKey val="0"/>
          <c:showVal val="0"/>
          <c:showCatName val="0"/>
          <c:showSerName val="0"/>
          <c:showPercent val="0"/>
          <c:showBubbleSize val="0"/>
        </c:dLbls>
        <c:marker val="1"/>
        <c:smooth val="0"/>
        <c:axId val="1103384239"/>
        <c:axId val="1103392559"/>
      </c:lineChart>
      <c:catAx>
        <c:axId val="11033842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392559"/>
        <c:crosses val="autoZero"/>
        <c:auto val="1"/>
        <c:lblAlgn val="ctr"/>
        <c:lblOffset val="100"/>
        <c:noMultiLvlLbl val="0"/>
      </c:catAx>
      <c:valAx>
        <c:axId val="1103392559"/>
        <c:scaling>
          <c:orientation val="minMax"/>
        </c:scaling>
        <c:delete val="0"/>
        <c:axPos val="l"/>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38423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&amp; Profitability Dashboard1.xlsx]Pivot_Table!PivotTable7</c:name>
    <c:fmtId val="7"/>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baseline="0"/>
              <a:t>Products by Revenue</a:t>
            </a:r>
          </a:p>
        </c:rich>
      </c:tx>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Pivot_Table!$C$37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Pivot_Table!$B$38:$B$46</c:f>
              <c:strCache>
                <c:ptCount val="8"/>
                <c:pt idx="0">
                  <c:v>Derby</c:v>
                </c:pt>
                <c:pt idx="1">
                  <c:v>Loafers</c:v>
                </c:pt>
                <c:pt idx="2">
                  <c:v>Slippers</c:v>
                </c:pt>
                <c:pt idx="3">
                  <c:v>Boots</c:v>
                </c:pt>
                <c:pt idx="4">
                  <c:v>Monk Straps</c:v>
                </c:pt>
                <c:pt idx="5">
                  <c:v>Brogues</c:v>
                </c:pt>
                <c:pt idx="6">
                  <c:v>Oxford</c:v>
                </c:pt>
                <c:pt idx="7">
                  <c:v>Canvas</c:v>
                </c:pt>
              </c:strCache>
            </c:strRef>
          </c:cat>
          <c:val>
            <c:numRef>
              <c:f>Pivot_Table!$C$38:$C$46</c:f>
              <c:numCache>
                <c:formatCode>[$$-409]#,##0</c:formatCode>
                <c:ptCount val="8"/>
                <c:pt idx="0">
                  <c:v>16704</c:v>
                </c:pt>
                <c:pt idx="1">
                  <c:v>24462</c:v>
                </c:pt>
                <c:pt idx="2">
                  <c:v>40698</c:v>
                </c:pt>
                <c:pt idx="3">
                  <c:v>41040</c:v>
                </c:pt>
                <c:pt idx="4">
                  <c:v>51175</c:v>
                </c:pt>
                <c:pt idx="5">
                  <c:v>58576</c:v>
                </c:pt>
                <c:pt idx="6">
                  <c:v>58905</c:v>
                </c:pt>
                <c:pt idx="7">
                  <c:v>63488</c:v>
                </c:pt>
              </c:numCache>
            </c:numRef>
          </c:val>
          <c:extLst>
            <c:ext xmlns:c16="http://schemas.microsoft.com/office/drawing/2014/chart" uri="{C3380CC4-5D6E-409C-BE32-E72D297353CC}">
              <c16:uniqueId val="{00000000-0701-4FC0-A7D6-64C6FD402E22}"/>
            </c:ext>
          </c:extLst>
        </c:ser>
        <c:dLbls>
          <c:dLblPos val="outEnd"/>
          <c:showLegendKey val="0"/>
          <c:showVal val="1"/>
          <c:showCatName val="0"/>
          <c:showSerName val="0"/>
          <c:showPercent val="0"/>
          <c:showBubbleSize val="0"/>
        </c:dLbls>
        <c:gapWidth val="219"/>
        <c:overlap val="-27"/>
        <c:axId val="1213163823"/>
        <c:axId val="1213172975"/>
      </c:barChart>
      <c:catAx>
        <c:axId val="12131638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172975"/>
        <c:crosses val="autoZero"/>
        <c:auto val="1"/>
        <c:lblAlgn val="ctr"/>
        <c:lblOffset val="100"/>
        <c:noMultiLvlLbl val="0"/>
      </c:catAx>
      <c:valAx>
        <c:axId val="1213172975"/>
        <c:scaling>
          <c:orientation val="minMax"/>
        </c:scaling>
        <c:delete val="1"/>
        <c:axPos val="l"/>
        <c:numFmt formatCode="[$$-409]#,##0" sourceLinked="1"/>
        <c:majorTickMark val="out"/>
        <c:minorTickMark val="none"/>
        <c:tickLblPos val="nextTo"/>
        <c:crossAx val="12131638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&amp; Profitability Dashboard1.xlsx]Pivot_Table!PivotTable6</c:name>
    <c:fmtId val="8"/>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i="0" u="none" strike="noStrike" baseline="0"/>
              <a:t>Profit vs. Margin %</a:t>
            </a:r>
          </a:p>
        </c:rich>
      </c:tx>
      <c:overlay val="0"/>
      <c:spPr>
        <a:noFill/>
        <a:ln cap="rnd">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C00000"/>
            </a:solidFill>
            <a:round/>
          </a:ln>
          <a:effectLst/>
        </c:spPr>
        <c:marker>
          <c:symbol val="none"/>
        </c:marker>
      </c:pivotFmt>
      <c:pivotFmt>
        <c:idx val="1"/>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pivotFmt>
      <c:pivotFmt>
        <c:idx val="9"/>
        <c:spPr>
          <a:solidFill>
            <a:schemeClr val="accent1"/>
          </a:solidFill>
          <a:ln w="28575" cap="rnd">
            <a:solidFill>
              <a:schemeClr val="accent1"/>
            </a:solidFill>
            <a:round/>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w="28575" cap="rnd">
            <a:solidFill>
              <a:schemeClr val="accent1"/>
            </a:solidFill>
            <a:round/>
          </a:ln>
          <a:effectLst/>
        </c:spPr>
        <c:marker>
          <c:symbol val="none"/>
        </c:marker>
      </c:pivotFmt>
      <c:pivotFmt>
        <c:idx val="12"/>
        <c:spPr>
          <a:solidFill>
            <a:schemeClr val="accent1"/>
          </a:solidFill>
          <a:ln>
            <a:noFill/>
          </a:ln>
          <a:effectLst/>
        </c:spPr>
        <c:marker>
          <c:symbol val="none"/>
        </c:marker>
      </c:pivotFmt>
      <c:pivotFmt>
        <c:idx val="13"/>
        <c:spPr>
          <a:ln w="28575" cap="rnd">
            <a:solidFill>
              <a:schemeClr val="accent1"/>
            </a:solidFill>
            <a:round/>
          </a:ln>
          <a:effectLst/>
        </c:spPr>
        <c:marker>
          <c:symbol val="none"/>
        </c:marker>
      </c:pivotFmt>
    </c:pivotFmts>
    <c:plotArea>
      <c:layout/>
      <c:barChart>
        <c:barDir val="col"/>
        <c:grouping val="clustered"/>
        <c:varyColors val="0"/>
        <c:ser>
          <c:idx val="0"/>
          <c:order val="0"/>
          <c:tx>
            <c:strRef>
              <c:f>Pivot_Table!$L$3</c:f>
              <c:strCache>
                <c:ptCount val="1"/>
                <c:pt idx="0">
                  <c:v>Total Profit </c:v>
                </c:pt>
              </c:strCache>
            </c:strRef>
          </c:tx>
          <c:spPr>
            <a:solidFill>
              <a:schemeClr val="accent1"/>
            </a:solidFill>
            <a:ln>
              <a:noFill/>
            </a:ln>
            <a:effectLst/>
          </c:spPr>
          <c:invertIfNegative val="0"/>
          <c:cat>
            <c:strRef>
              <c:f>Pivot_Table!$K$4:$K$12</c:f>
              <c:strCache>
                <c:ptCount val="8"/>
                <c:pt idx="0">
                  <c:v>Derby</c:v>
                </c:pt>
                <c:pt idx="1">
                  <c:v>Boots</c:v>
                </c:pt>
                <c:pt idx="2">
                  <c:v>Loafers</c:v>
                </c:pt>
                <c:pt idx="3">
                  <c:v>Monk Straps</c:v>
                </c:pt>
                <c:pt idx="4">
                  <c:v>Oxford</c:v>
                </c:pt>
                <c:pt idx="5">
                  <c:v>Canvas</c:v>
                </c:pt>
                <c:pt idx="6">
                  <c:v>Slippers</c:v>
                </c:pt>
                <c:pt idx="7">
                  <c:v>Brogues</c:v>
                </c:pt>
              </c:strCache>
            </c:strRef>
          </c:cat>
          <c:val>
            <c:numRef>
              <c:f>Pivot_Table!$L$4:$L$12</c:f>
              <c:numCache>
                <c:formatCode>[$$-409]#,##0</c:formatCode>
                <c:ptCount val="8"/>
                <c:pt idx="0">
                  <c:v>9396</c:v>
                </c:pt>
                <c:pt idx="1">
                  <c:v>19980</c:v>
                </c:pt>
                <c:pt idx="2">
                  <c:v>11778</c:v>
                </c:pt>
                <c:pt idx="3">
                  <c:v>24150</c:v>
                </c:pt>
                <c:pt idx="4">
                  <c:v>26367</c:v>
                </c:pt>
                <c:pt idx="5">
                  <c:v>27776</c:v>
                </c:pt>
                <c:pt idx="6">
                  <c:v>17784</c:v>
                </c:pt>
                <c:pt idx="7">
                  <c:v>25104</c:v>
                </c:pt>
              </c:numCache>
            </c:numRef>
          </c:val>
          <c:extLst>
            <c:ext xmlns:c16="http://schemas.microsoft.com/office/drawing/2014/chart" uri="{C3380CC4-5D6E-409C-BE32-E72D297353CC}">
              <c16:uniqueId val="{00000000-A864-4A12-BFE7-CF64E8D6F0F3}"/>
            </c:ext>
          </c:extLst>
        </c:ser>
        <c:dLbls>
          <c:showLegendKey val="0"/>
          <c:showVal val="0"/>
          <c:showCatName val="0"/>
          <c:showSerName val="0"/>
          <c:showPercent val="0"/>
          <c:showBubbleSize val="0"/>
        </c:dLbls>
        <c:gapWidth val="150"/>
        <c:axId val="1217961967"/>
        <c:axId val="1217962383"/>
      </c:barChart>
      <c:lineChart>
        <c:grouping val="standard"/>
        <c:varyColors val="0"/>
        <c:ser>
          <c:idx val="1"/>
          <c:order val="1"/>
          <c:tx>
            <c:strRef>
              <c:f>Pivot_Table!$M$3</c:f>
              <c:strCache>
                <c:ptCount val="1"/>
                <c:pt idx="0">
                  <c:v>% Actual_Margin</c:v>
                </c:pt>
              </c:strCache>
            </c:strRef>
          </c:tx>
          <c:spPr>
            <a:ln w="28575" cap="rnd">
              <a:solidFill>
                <a:schemeClr val="accent2"/>
              </a:solidFill>
              <a:round/>
            </a:ln>
            <a:effectLst/>
          </c:spPr>
          <c:marker>
            <c:symbol val="none"/>
          </c:marker>
          <c:cat>
            <c:strRef>
              <c:f>Pivot_Table!$K$4:$K$12</c:f>
              <c:strCache>
                <c:ptCount val="8"/>
                <c:pt idx="0">
                  <c:v>Derby</c:v>
                </c:pt>
                <c:pt idx="1">
                  <c:v>Boots</c:v>
                </c:pt>
                <c:pt idx="2">
                  <c:v>Loafers</c:v>
                </c:pt>
                <c:pt idx="3">
                  <c:v>Monk Straps</c:v>
                </c:pt>
                <c:pt idx="4">
                  <c:v>Oxford</c:v>
                </c:pt>
                <c:pt idx="5">
                  <c:v>Canvas</c:v>
                </c:pt>
                <c:pt idx="6">
                  <c:v>Slippers</c:v>
                </c:pt>
                <c:pt idx="7">
                  <c:v>Brogues</c:v>
                </c:pt>
              </c:strCache>
            </c:strRef>
          </c:cat>
          <c:val>
            <c:numRef>
              <c:f>Pivot_Table!$M$4:$M$12</c:f>
              <c:numCache>
                <c:formatCode>0.0%</c:formatCode>
                <c:ptCount val="8"/>
                <c:pt idx="0">
                  <c:v>0.5625</c:v>
                </c:pt>
                <c:pt idx="1">
                  <c:v>0.48684210526315791</c:v>
                </c:pt>
                <c:pt idx="2">
                  <c:v>0.48148148148148145</c:v>
                </c:pt>
                <c:pt idx="3">
                  <c:v>0.47191011235955055</c:v>
                </c:pt>
                <c:pt idx="4">
                  <c:v>0.44761904761904764</c:v>
                </c:pt>
                <c:pt idx="5">
                  <c:v>0.4375</c:v>
                </c:pt>
                <c:pt idx="6">
                  <c:v>0.43697478991596639</c:v>
                </c:pt>
                <c:pt idx="7">
                  <c:v>0.42857142857142855</c:v>
                </c:pt>
              </c:numCache>
            </c:numRef>
          </c:val>
          <c:smooth val="0"/>
          <c:extLst>
            <c:ext xmlns:c16="http://schemas.microsoft.com/office/drawing/2014/chart" uri="{C3380CC4-5D6E-409C-BE32-E72D297353CC}">
              <c16:uniqueId val="{00000001-A864-4A12-BFE7-CF64E8D6F0F3}"/>
            </c:ext>
          </c:extLst>
        </c:ser>
        <c:dLbls>
          <c:showLegendKey val="0"/>
          <c:showVal val="0"/>
          <c:showCatName val="0"/>
          <c:showSerName val="0"/>
          <c:showPercent val="0"/>
          <c:showBubbleSize val="0"/>
        </c:dLbls>
        <c:marker val="1"/>
        <c:smooth val="0"/>
        <c:axId val="61705359"/>
        <c:axId val="2007349615"/>
      </c:lineChart>
      <c:catAx>
        <c:axId val="12179619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217962383"/>
        <c:crosses val="autoZero"/>
        <c:auto val="1"/>
        <c:lblAlgn val="ctr"/>
        <c:lblOffset val="100"/>
        <c:noMultiLvlLbl val="0"/>
      </c:catAx>
      <c:valAx>
        <c:axId val="1217962383"/>
        <c:scaling>
          <c:orientation val="minMax"/>
          <c:max val="30000"/>
        </c:scaling>
        <c:delete val="0"/>
        <c:axPos val="l"/>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961967"/>
        <c:crosses val="autoZero"/>
        <c:crossBetween val="between"/>
      </c:valAx>
      <c:valAx>
        <c:axId val="2007349615"/>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05359"/>
        <c:crosses val="max"/>
        <c:crossBetween val="between"/>
      </c:valAx>
      <c:catAx>
        <c:axId val="61705359"/>
        <c:scaling>
          <c:orientation val="minMax"/>
        </c:scaling>
        <c:delete val="1"/>
        <c:axPos val="b"/>
        <c:numFmt formatCode="General" sourceLinked="1"/>
        <c:majorTickMark val="out"/>
        <c:minorTickMark val="none"/>
        <c:tickLblPos val="nextTo"/>
        <c:crossAx val="200734961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&amp; Profitability Dashboard1.xlsx]Pivot_Table!PivotTable8</c:name>
    <c:fmtId val="11"/>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100" b="1" i="0" u="none" strike="noStrike" cap="all" baseline="0"/>
              <a:t>Performance by Category &amp; Brand</a:t>
            </a:r>
            <a:endParaRPr lang="en-US" sz="1100"/>
          </a:p>
        </c:rich>
      </c:tx>
      <c:layout>
        <c:manualLayout>
          <c:xMode val="edge"/>
          <c:yMode val="edge"/>
          <c:x val="0.17189114787163245"/>
          <c:y val="3.1372561936107018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pivotFmt>
    </c:pivotFmts>
    <c:plotArea>
      <c:layout/>
      <c:barChart>
        <c:barDir val="col"/>
        <c:grouping val="clustered"/>
        <c:varyColors val="0"/>
        <c:ser>
          <c:idx val="0"/>
          <c:order val="0"/>
          <c:tx>
            <c:strRef>
              <c:f>Pivot_Table!$L$18</c:f>
              <c:strCache>
                <c:ptCount val="1"/>
                <c:pt idx="0">
                  <c:v>Revenue</c:v>
                </c:pt>
              </c:strCache>
            </c:strRef>
          </c:tx>
          <c:spPr>
            <a:solidFill>
              <a:schemeClr val="accent1"/>
            </a:solidFill>
            <a:ln>
              <a:noFill/>
            </a:ln>
            <a:effectLst/>
            <a:scene3d>
              <a:camera prst="orthographicFront"/>
              <a:lightRig rig="brightRoom" dir="t"/>
            </a:scene3d>
            <a:sp3d prstMaterial="flat">
              <a:bevelT w="50800" h="101600" prst="angle"/>
              <a:contourClr>
                <a:srgbClr val="000000"/>
              </a:contourClr>
            </a:sp3d>
          </c:spPr>
          <c:invertIfNegative val="0"/>
          <c:dPt>
            <c:idx val="0"/>
            <c:invertIfNegative val="0"/>
            <c:bubble3D val="0"/>
            <c:extLst>
              <c:ext xmlns:c16="http://schemas.microsoft.com/office/drawing/2014/chart" uri="{C3380CC4-5D6E-409C-BE32-E72D297353CC}">
                <c16:uniqueId val="{00000000-4599-4BAA-BEFA-8BC97CCAB95A}"/>
              </c:ext>
            </c:extLst>
          </c:dPt>
          <c:dPt>
            <c:idx val="1"/>
            <c:invertIfNegative val="0"/>
            <c:bubble3D val="0"/>
            <c:extLst>
              <c:ext xmlns:c16="http://schemas.microsoft.com/office/drawing/2014/chart" uri="{C3380CC4-5D6E-409C-BE32-E72D297353CC}">
                <c16:uniqueId val="{00000001-4599-4BAA-BEFA-8BC97CCAB95A}"/>
              </c:ext>
            </c:extLst>
          </c:dPt>
          <c:dPt>
            <c:idx val="2"/>
            <c:invertIfNegative val="0"/>
            <c:bubble3D val="0"/>
            <c:extLst>
              <c:ext xmlns:c16="http://schemas.microsoft.com/office/drawing/2014/chart" uri="{C3380CC4-5D6E-409C-BE32-E72D297353CC}">
                <c16:uniqueId val="{00000002-4599-4BAA-BEFA-8BC97CCAB95A}"/>
              </c:ext>
            </c:extLst>
          </c:dPt>
          <c:dPt>
            <c:idx val="3"/>
            <c:invertIfNegative val="0"/>
            <c:bubble3D val="0"/>
            <c:extLst>
              <c:ext xmlns:c16="http://schemas.microsoft.com/office/drawing/2014/chart" uri="{C3380CC4-5D6E-409C-BE32-E72D297353CC}">
                <c16:uniqueId val="{00000003-4599-4BAA-BEFA-8BC97CCAB95A}"/>
              </c:ext>
            </c:extLst>
          </c:dPt>
          <c:cat>
            <c:strRef>
              <c:f>Pivot_Table!$K$19:$K$23</c:f>
              <c:strCache>
                <c:ptCount val="4"/>
                <c:pt idx="0">
                  <c:v>Casual</c:v>
                </c:pt>
                <c:pt idx="1">
                  <c:v>Formal</c:v>
                </c:pt>
                <c:pt idx="2">
                  <c:v>Open</c:v>
                </c:pt>
                <c:pt idx="3">
                  <c:v>Utility</c:v>
                </c:pt>
              </c:strCache>
            </c:strRef>
          </c:cat>
          <c:val>
            <c:numRef>
              <c:f>Pivot_Table!$L$19:$L$23</c:f>
              <c:numCache>
                <c:formatCode>[$$-409]#,##0</c:formatCode>
                <c:ptCount val="4"/>
                <c:pt idx="0">
                  <c:v>82917</c:v>
                </c:pt>
                <c:pt idx="1">
                  <c:v>179935</c:v>
                </c:pt>
                <c:pt idx="2">
                  <c:v>53035</c:v>
                </c:pt>
                <c:pt idx="3">
                  <c:v>39161</c:v>
                </c:pt>
              </c:numCache>
            </c:numRef>
          </c:val>
          <c:extLst>
            <c:ext xmlns:c16="http://schemas.microsoft.com/office/drawing/2014/chart" uri="{C3380CC4-5D6E-409C-BE32-E72D297353CC}">
              <c16:uniqueId val="{00000004-4599-4BAA-BEFA-8BC97CCAB95A}"/>
            </c:ext>
          </c:extLst>
        </c:ser>
        <c:ser>
          <c:idx val="1"/>
          <c:order val="1"/>
          <c:tx>
            <c:strRef>
              <c:f>Pivot_Table!$M$18</c:f>
              <c:strCache>
                <c:ptCount val="1"/>
                <c:pt idx="0">
                  <c:v>Total Profit </c:v>
                </c:pt>
              </c:strCache>
            </c:strRef>
          </c:tx>
          <c:spPr>
            <a:solidFill>
              <a:schemeClr val="accent2"/>
            </a:solidFill>
            <a:ln>
              <a:noFill/>
            </a:ln>
            <a:effectLst/>
            <a:scene3d>
              <a:camera prst="orthographicFront"/>
              <a:lightRig rig="brightRoom" dir="t"/>
            </a:scene3d>
            <a:sp3d prstMaterial="flat">
              <a:bevelT w="50800" h="101600" prst="angle"/>
              <a:contourClr>
                <a:srgbClr val="000000"/>
              </a:contourClr>
            </a:sp3d>
          </c:spPr>
          <c:invertIfNegative val="0"/>
          <c:cat>
            <c:strRef>
              <c:f>Pivot_Table!$K$19:$K$23</c:f>
              <c:strCache>
                <c:ptCount val="4"/>
                <c:pt idx="0">
                  <c:v>Casual</c:v>
                </c:pt>
                <c:pt idx="1">
                  <c:v>Formal</c:v>
                </c:pt>
                <c:pt idx="2">
                  <c:v>Open</c:v>
                </c:pt>
                <c:pt idx="3">
                  <c:v>Utility</c:v>
                </c:pt>
              </c:strCache>
            </c:strRef>
          </c:cat>
          <c:val>
            <c:numRef>
              <c:f>Pivot_Table!$M$19:$M$23</c:f>
              <c:numCache>
                <c:formatCode>[$$-409]#,##0</c:formatCode>
                <c:ptCount val="4"/>
                <c:pt idx="0">
                  <c:v>37753</c:v>
                </c:pt>
                <c:pt idx="1">
                  <c:v>82274</c:v>
                </c:pt>
                <c:pt idx="2">
                  <c:v>24172</c:v>
                </c:pt>
                <c:pt idx="3">
                  <c:v>18136</c:v>
                </c:pt>
              </c:numCache>
            </c:numRef>
          </c:val>
          <c:extLst>
            <c:ext xmlns:c16="http://schemas.microsoft.com/office/drawing/2014/chart" uri="{C3380CC4-5D6E-409C-BE32-E72D297353CC}">
              <c16:uniqueId val="{00000005-4599-4BAA-BEFA-8BC97CCAB95A}"/>
            </c:ext>
          </c:extLst>
        </c:ser>
        <c:dLbls>
          <c:showLegendKey val="0"/>
          <c:showVal val="0"/>
          <c:showCatName val="0"/>
          <c:showSerName val="0"/>
          <c:showPercent val="0"/>
          <c:showBubbleSize val="0"/>
        </c:dLbls>
        <c:gapWidth val="100"/>
        <c:axId val="260692735"/>
        <c:axId val="260696895"/>
      </c:barChart>
      <c:catAx>
        <c:axId val="26069273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696895"/>
        <c:crosses val="autoZero"/>
        <c:auto val="1"/>
        <c:lblAlgn val="ctr"/>
        <c:lblOffset val="100"/>
        <c:noMultiLvlLbl val="0"/>
      </c:catAx>
      <c:valAx>
        <c:axId val="260696895"/>
        <c:scaling>
          <c:orientation val="minMax"/>
        </c:scaling>
        <c:delete val="0"/>
        <c:axPos val="l"/>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692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&amp; Profitability Dashboard1.xlsx]Pivot_Table!PivotTable9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i="0" u="none" strike="noStrike" baseline="0"/>
              <a:t>Top Countries by Revenue</a:t>
            </a:r>
            <a:endParaRPr lang="en-US" sz="1100"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rgbClr val="0070C0"/>
          </a:solidFill>
          <a:ln>
            <a:noFill/>
          </a:ln>
          <a:effectLst/>
        </c:spPr>
        <c:marker>
          <c:symbol val="none"/>
        </c:marker>
      </c:pivotFmt>
      <c:pivotFmt>
        <c:idx val="2"/>
        <c:spPr>
          <a:solidFill>
            <a:schemeClr val="accent1"/>
          </a:solidFill>
          <a:ln>
            <a:noFill/>
          </a:ln>
          <a:effectLst/>
        </c:spPr>
        <c:marker>
          <c:symbol val="none"/>
        </c:marker>
      </c:pivotFmt>
      <c:pivotFmt>
        <c:idx val="3"/>
        <c:spPr>
          <a:solidFill>
            <a:srgbClr val="0070C0"/>
          </a:solidFill>
          <a:ln>
            <a:noFill/>
          </a:ln>
          <a:effectLst/>
        </c:spPr>
        <c:marker>
          <c:symbol val="none"/>
        </c:marker>
      </c:pivotFmt>
      <c:pivotFmt>
        <c:idx val="4"/>
        <c:spPr>
          <a:solidFill>
            <a:schemeClr val="accent1"/>
          </a:solidFill>
          <a:ln>
            <a:noFill/>
          </a:ln>
          <a:effectLst/>
        </c:spPr>
        <c:marker>
          <c:symbol val="none"/>
        </c:marker>
      </c:pivotFmt>
      <c:pivotFmt>
        <c:idx val="5"/>
        <c:spPr>
          <a:solidFill>
            <a:srgbClr val="0070C0"/>
          </a:solidFill>
          <a:ln>
            <a:noFill/>
          </a:ln>
          <a:effectLst/>
        </c:spPr>
        <c:marker>
          <c:symbol val="none"/>
        </c:marker>
      </c:pivotFmt>
      <c:pivotFmt>
        <c:idx val="6"/>
        <c:spPr>
          <a:solidFill>
            <a:schemeClr val="accent1"/>
          </a:solidFill>
          <a:ln>
            <a:noFill/>
          </a:ln>
          <a:effectLst/>
        </c:spPr>
        <c:marker>
          <c:symbol val="none"/>
        </c:marker>
      </c:pivotFmt>
    </c:pivotFmts>
    <c:plotArea>
      <c:layout/>
      <c:barChart>
        <c:barDir val="col"/>
        <c:grouping val="clustered"/>
        <c:varyColors val="0"/>
        <c:ser>
          <c:idx val="0"/>
          <c:order val="0"/>
          <c:tx>
            <c:strRef>
              <c:f>Pivot_Table!$L$29</c:f>
              <c:strCache>
                <c:ptCount val="1"/>
                <c:pt idx="0">
                  <c:v>Revenue</c:v>
                </c:pt>
              </c:strCache>
            </c:strRef>
          </c:tx>
          <c:spPr>
            <a:solidFill>
              <a:srgbClr val="0070C0"/>
            </a:solidFill>
            <a:ln>
              <a:noFill/>
            </a:ln>
            <a:effectLst/>
          </c:spPr>
          <c:invertIfNegative val="0"/>
          <c:cat>
            <c:strRef>
              <c:f>Pivot_Table!$K$30:$K$34</c:f>
              <c:strCache>
                <c:ptCount val="4"/>
                <c:pt idx="0">
                  <c:v>Casual</c:v>
                </c:pt>
                <c:pt idx="1">
                  <c:v>Formal</c:v>
                </c:pt>
                <c:pt idx="2">
                  <c:v>Open</c:v>
                </c:pt>
                <c:pt idx="3">
                  <c:v>Utility</c:v>
                </c:pt>
              </c:strCache>
            </c:strRef>
          </c:cat>
          <c:val>
            <c:numRef>
              <c:f>Pivot_Table!$L$30:$L$34</c:f>
              <c:numCache>
                <c:formatCode>[$$-409]#,##0</c:formatCode>
                <c:ptCount val="4"/>
                <c:pt idx="0">
                  <c:v>82917</c:v>
                </c:pt>
                <c:pt idx="1">
                  <c:v>179935</c:v>
                </c:pt>
                <c:pt idx="2">
                  <c:v>53035</c:v>
                </c:pt>
                <c:pt idx="3">
                  <c:v>39161</c:v>
                </c:pt>
              </c:numCache>
            </c:numRef>
          </c:val>
          <c:extLst>
            <c:ext xmlns:c16="http://schemas.microsoft.com/office/drawing/2014/chart" uri="{C3380CC4-5D6E-409C-BE32-E72D297353CC}">
              <c16:uniqueId val="{00000000-66A7-496C-935B-97505D46B210}"/>
            </c:ext>
          </c:extLst>
        </c:ser>
        <c:ser>
          <c:idx val="1"/>
          <c:order val="1"/>
          <c:tx>
            <c:strRef>
              <c:f>Pivot_Table!$M$29</c:f>
              <c:strCache>
                <c:ptCount val="1"/>
                <c:pt idx="0">
                  <c:v>Total  Profit </c:v>
                </c:pt>
              </c:strCache>
            </c:strRef>
          </c:tx>
          <c:spPr>
            <a:solidFill>
              <a:schemeClr val="accent2"/>
            </a:solidFill>
            <a:ln>
              <a:noFill/>
            </a:ln>
            <a:effectLst/>
          </c:spPr>
          <c:invertIfNegative val="0"/>
          <c:cat>
            <c:strRef>
              <c:f>Pivot_Table!$K$30:$K$34</c:f>
              <c:strCache>
                <c:ptCount val="4"/>
                <c:pt idx="0">
                  <c:v>Casual</c:v>
                </c:pt>
                <c:pt idx="1">
                  <c:v>Formal</c:v>
                </c:pt>
                <c:pt idx="2">
                  <c:v>Open</c:v>
                </c:pt>
                <c:pt idx="3">
                  <c:v>Utility</c:v>
                </c:pt>
              </c:strCache>
            </c:strRef>
          </c:cat>
          <c:val>
            <c:numRef>
              <c:f>Pivot_Table!$M$30:$M$34</c:f>
              <c:numCache>
                <c:formatCode>[$$-409]#,##0</c:formatCode>
                <c:ptCount val="4"/>
                <c:pt idx="0">
                  <c:v>37753</c:v>
                </c:pt>
                <c:pt idx="1">
                  <c:v>82274</c:v>
                </c:pt>
                <c:pt idx="2">
                  <c:v>24172</c:v>
                </c:pt>
                <c:pt idx="3">
                  <c:v>18136</c:v>
                </c:pt>
              </c:numCache>
            </c:numRef>
          </c:val>
          <c:extLst>
            <c:ext xmlns:c16="http://schemas.microsoft.com/office/drawing/2014/chart" uri="{C3380CC4-5D6E-409C-BE32-E72D297353CC}">
              <c16:uniqueId val="{00000001-66A7-496C-935B-97505D46B210}"/>
            </c:ext>
          </c:extLst>
        </c:ser>
        <c:dLbls>
          <c:showLegendKey val="0"/>
          <c:showVal val="0"/>
          <c:showCatName val="0"/>
          <c:showSerName val="0"/>
          <c:showPercent val="0"/>
          <c:showBubbleSize val="0"/>
        </c:dLbls>
        <c:gapWidth val="219"/>
        <c:overlap val="-27"/>
        <c:axId val="1099233375"/>
        <c:axId val="1099242527"/>
      </c:barChart>
      <c:catAx>
        <c:axId val="1099233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242527"/>
        <c:crosses val="autoZero"/>
        <c:auto val="1"/>
        <c:lblAlgn val="ctr"/>
        <c:lblOffset val="100"/>
        <c:noMultiLvlLbl val="0"/>
      </c:catAx>
      <c:valAx>
        <c:axId val="1099242527"/>
        <c:scaling>
          <c:orientation val="minMax"/>
        </c:scaling>
        <c:delete val="0"/>
        <c:axPos val="l"/>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233375"/>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&amp; Profitability Dashboard1.xlsx]Pivot_Table!PivotTable10</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baseline="0">
                <a:effectLst/>
              </a:rPr>
              <a:t>Product vs. Payment Breakdown</a:t>
            </a:r>
            <a:r>
              <a:rPr lang="en-US" sz="1200" b="1" i="0" u="none" strike="noStrike" baseline="0"/>
              <a:t> </a:t>
            </a:r>
            <a:endParaRPr lang="en-US" sz="1200"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s>
    <c:plotArea>
      <c:layout/>
      <c:barChart>
        <c:barDir val="bar"/>
        <c:grouping val="percentStacked"/>
        <c:varyColors val="0"/>
        <c:ser>
          <c:idx val="0"/>
          <c:order val="0"/>
          <c:tx>
            <c:strRef>
              <c:f>Pivot_Table!$L$41:$L$42</c:f>
              <c:strCache>
                <c:ptCount val="1"/>
                <c:pt idx="0">
                  <c:v>Bank Transfer</c:v>
                </c:pt>
              </c:strCache>
            </c:strRef>
          </c:tx>
          <c:spPr>
            <a:solidFill>
              <a:schemeClr val="accent1"/>
            </a:solidFill>
            <a:ln>
              <a:noFill/>
            </a:ln>
            <a:effectLst/>
          </c:spPr>
          <c:invertIfNegative val="0"/>
          <c:cat>
            <c:strRef>
              <c:f>Pivot_Table!$K$43:$K$51</c:f>
              <c:strCache>
                <c:ptCount val="8"/>
                <c:pt idx="0">
                  <c:v>Boots</c:v>
                </c:pt>
                <c:pt idx="1">
                  <c:v>Brogues</c:v>
                </c:pt>
                <c:pt idx="2">
                  <c:v>Canvas</c:v>
                </c:pt>
                <c:pt idx="3">
                  <c:v>Derby</c:v>
                </c:pt>
                <c:pt idx="4">
                  <c:v>Loafers</c:v>
                </c:pt>
                <c:pt idx="5">
                  <c:v>Monk Straps</c:v>
                </c:pt>
                <c:pt idx="6">
                  <c:v>Oxford</c:v>
                </c:pt>
                <c:pt idx="7">
                  <c:v>Slippers</c:v>
                </c:pt>
              </c:strCache>
            </c:strRef>
          </c:cat>
          <c:val>
            <c:numRef>
              <c:f>Pivot_Table!$L$43:$L$51</c:f>
              <c:numCache>
                <c:formatCode>#,##0</c:formatCode>
                <c:ptCount val="8"/>
                <c:pt idx="0">
                  <c:v>145</c:v>
                </c:pt>
                <c:pt idx="1">
                  <c:v>155</c:v>
                </c:pt>
                <c:pt idx="2">
                  <c:v>174</c:v>
                </c:pt>
                <c:pt idx="3">
                  <c:v>114</c:v>
                </c:pt>
                <c:pt idx="4">
                  <c:v>149</c:v>
                </c:pt>
                <c:pt idx="5">
                  <c:v>97</c:v>
                </c:pt>
                <c:pt idx="6">
                  <c:v>125</c:v>
                </c:pt>
                <c:pt idx="7">
                  <c:v>84</c:v>
                </c:pt>
              </c:numCache>
            </c:numRef>
          </c:val>
          <c:extLst>
            <c:ext xmlns:c16="http://schemas.microsoft.com/office/drawing/2014/chart" uri="{C3380CC4-5D6E-409C-BE32-E72D297353CC}">
              <c16:uniqueId val="{00000000-E6E1-46EC-89C1-9A98131EC45F}"/>
            </c:ext>
          </c:extLst>
        </c:ser>
        <c:ser>
          <c:idx val="1"/>
          <c:order val="1"/>
          <c:tx>
            <c:strRef>
              <c:f>Pivot_Table!$M$41:$M$42</c:f>
              <c:strCache>
                <c:ptCount val="1"/>
                <c:pt idx="0">
                  <c:v>Card</c:v>
                </c:pt>
              </c:strCache>
            </c:strRef>
          </c:tx>
          <c:spPr>
            <a:solidFill>
              <a:schemeClr val="accent2"/>
            </a:solidFill>
            <a:ln>
              <a:noFill/>
            </a:ln>
            <a:effectLst/>
          </c:spPr>
          <c:invertIfNegative val="0"/>
          <c:cat>
            <c:strRef>
              <c:f>Pivot_Table!$K$43:$K$51</c:f>
              <c:strCache>
                <c:ptCount val="8"/>
                <c:pt idx="0">
                  <c:v>Boots</c:v>
                </c:pt>
                <c:pt idx="1">
                  <c:v>Brogues</c:v>
                </c:pt>
                <c:pt idx="2">
                  <c:v>Canvas</c:v>
                </c:pt>
                <c:pt idx="3">
                  <c:v>Derby</c:v>
                </c:pt>
                <c:pt idx="4">
                  <c:v>Loafers</c:v>
                </c:pt>
                <c:pt idx="5">
                  <c:v>Monk Straps</c:v>
                </c:pt>
                <c:pt idx="6">
                  <c:v>Oxford</c:v>
                </c:pt>
                <c:pt idx="7">
                  <c:v>Slippers</c:v>
                </c:pt>
              </c:strCache>
            </c:strRef>
          </c:cat>
          <c:val>
            <c:numRef>
              <c:f>Pivot_Table!$M$43:$M$51</c:f>
              <c:numCache>
                <c:formatCode>#,##0</c:formatCode>
                <c:ptCount val="8"/>
                <c:pt idx="0">
                  <c:v>155</c:v>
                </c:pt>
                <c:pt idx="1">
                  <c:v>122</c:v>
                </c:pt>
                <c:pt idx="2">
                  <c:v>123</c:v>
                </c:pt>
                <c:pt idx="3">
                  <c:v>155</c:v>
                </c:pt>
                <c:pt idx="4">
                  <c:v>82</c:v>
                </c:pt>
                <c:pt idx="5">
                  <c:v>156</c:v>
                </c:pt>
                <c:pt idx="6">
                  <c:v>192</c:v>
                </c:pt>
                <c:pt idx="7">
                  <c:v>123</c:v>
                </c:pt>
              </c:numCache>
            </c:numRef>
          </c:val>
          <c:extLst>
            <c:ext xmlns:c16="http://schemas.microsoft.com/office/drawing/2014/chart" uri="{C3380CC4-5D6E-409C-BE32-E72D297353CC}">
              <c16:uniqueId val="{00000001-E6E1-46EC-89C1-9A98131EC45F}"/>
            </c:ext>
          </c:extLst>
        </c:ser>
        <c:ser>
          <c:idx val="2"/>
          <c:order val="2"/>
          <c:tx>
            <c:strRef>
              <c:f>Pivot_Table!$N$41:$N$42</c:f>
              <c:strCache>
                <c:ptCount val="1"/>
                <c:pt idx="0">
                  <c:v>Cash</c:v>
                </c:pt>
              </c:strCache>
            </c:strRef>
          </c:tx>
          <c:spPr>
            <a:solidFill>
              <a:schemeClr val="accent3"/>
            </a:solidFill>
            <a:ln>
              <a:noFill/>
            </a:ln>
            <a:effectLst/>
          </c:spPr>
          <c:invertIfNegative val="0"/>
          <c:cat>
            <c:strRef>
              <c:f>Pivot_Table!$K$43:$K$51</c:f>
              <c:strCache>
                <c:ptCount val="8"/>
                <c:pt idx="0">
                  <c:v>Boots</c:v>
                </c:pt>
                <c:pt idx="1">
                  <c:v>Brogues</c:v>
                </c:pt>
                <c:pt idx="2">
                  <c:v>Canvas</c:v>
                </c:pt>
                <c:pt idx="3">
                  <c:v>Derby</c:v>
                </c:pt>
                <c:pt idx="4">
                  <c:v>Loafers</c:v>
                </c:pt>
                <c:pt idx="5">
                  <c:v>Monk Straps</c:v>
                </c:pt>
                <c:pt idx="6">
                  <c:v>Oxford</c:v>
                </c:pt>
                <c:pt idx="7">
                  <c:v>Slippers</c:v>
                </c:pt>
              </c:strCache>
            </c:strRef>
          </c:cat>
          <c:val>
            <c:numRef>
              <c:f>Pivot_Table!$N$43:$N$51</c:f>
              <c:numCache>
                <c:formatCode>#,##0</c:formatCode>
                <c:ptCount val="8"/>
                <c:pt idx="0">
                  <c:v>110</c:v>
                </c:pt>
                <c:pt idx="1">
                  <c:v>126</c:v>
                </c:pt>
                <c:pt idx="2">
                  <c:v>148</c:v>
                </c:pt>
                <c:pt idx="3">
                  <c:v>143</c:v>
                </c:pt>
                <c:pt idx="4">
                  <c:v>100</c:v>
                </c:pt>
                <c:pt idx="5">
                  <c:v>199</c:v>
                </c:pt>
                <c:pt idx="6">
                  <c:v>150</c:v>
                </c:pt>
                <c:pt idx="7">
                  <c:v>73</c:v>
                </c:pt>
              </c:numCache>
            </c:numRef>
          </c:val>
          <c:extLst>
            <c:ext xmlns:c16="http://schemas.microsoft.com/office/drawing/2014/chart" uri="{C3380CC4-5D6E-409C-BE32-E72D297353CC}">
              <c16:uniqueId val="{00000002-E6E1-46EC-89C1-9A98131EC45F}"/>
            </c:ext>
          </c:extLst>
        </c:ser>
        <c:ser>
          <c:idx val="3"/>
          <c:order val="3"/>
          <c:tx>
            <c:strRef>
              <c:f>Pivot_Table!$O$41:$O$42</c:f>
              <c:strCache>
                <c:ptCount val="1"/>
                <c:pt idx="0">
                  <c:v>Mobile Money</c:v>
                </c:pt>
              </c:strCache>
            </c:strRef>
          </c:tx>
          <c:spPr>
            <a:solidFill>
              <a:schemeClr val="accent4"/>
            </a:solidFill>
            <a:ln>
              <a:noFill/>
            </a:ln>
            <a:effectLst/>
          </c:spPr>
          <c:invertIfNegative val="0"/>
          <c:cat>
            <c:strRef>
              <c:f>Pivot_Table!$K$43:$K$51</c:f>
              <c:strCache>
                <c:ptCount val="8"/>
                <c:pt idx="0">
                  <c:v>Boots</c:v>
                </c:pt>
                <c:pt idx="1">
                  <c:v>Brogues</c:v>
                </c:pt>
                <c:pt idx="2">
                  <c:v>Canvas</c:v>
                </c:pt>
                <c:pt idx="3">
                  <c:v>Derby</c:v>
                </c:pt>
                <c:pt idx="4">
                  <c:v>Loafers</c:v>
                </c:pt>
                <c:pt idx="5">
                  <c:v>Monk Straps</c:v>
                </c:pt>
                <c:pt idx="6">
                  <c:v>Oxford</c:v>
                </c:pt>
                <c:pt idx="7">
                  <c:v>Slippers</c:v>
                </c:pt>
              </c:strCache>
            </c:strRef>
          </c:cat>
          <c:val>
            <c:numRef>
              <c:f>Pivot_Table!$O$43:$O$51</c:f>
              <c:numCache>
                <c:formatCode>#,##0</c:formatCode>
                <c:ptCount val="8"/>
                <c:pt idx="0">
                  <c:v>130</c:v>
                </c:pt>
                <c:pt idx="1">
                  <c:v>120</c:v>
                </c:pt>
                <c:pt idx="2">
                  <c:v>51</c:v>
                </c:pt>
                <c:pt idx="3">
                  <c:v>110</c:v>
                </c:pt>
                <c:pt idx="4">
                  <c:v>122</c:v>
                </c:pt>
                <c:pt idx="5">
                  <c:v>123</c:v>
                </c:pt>
                <c:pt idx="6">
                  <c:v>94</c:v>
                </c:pt>
                <c:pt idx="7">
                  <c:v>62</c:v>
                </c:pt>
              </c:numCache>
            </c:numRef>
          </c:val>
          <c:extLst>
            <c:ext xmlns:c16="http://schemas.microsoft.com/office/drawing/2014/chart" uri="{C3380CC4-5D6E-409C-BE32-E72D297353CC}">
              <c16:uniqueId val="{00000003-E6E1-46EC-89C1-9A98131EC45F}"/>
            </c:ext>
          </c:extLst>
        </c:ser>
        <c:dLbls>
          <c:showLegendKey val="0"/>
          <c:showVal val="0"/>
          <c:showCatName val="0"/>
          <c:showSerName val="0"/>
          <c:showPercent val="0"/>
          <c:showBubbleSize val="0"/>
        </c:dLbls>
        <c:gapWidth val="150"/>
        <c:overlap val="100"/>
        <c:axId val="213380703"/>
        <c:axId val="213379871"/>
      </c:barChart>
      <c:catAx>
        <c:axId val="213380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79871"/>
        <c:crosses val="autoZero"/>
        <c:auto val="1"/>
        <c:lblAlgn val="ctr"/>
        <c:lblOffset val="100"/>
        <c:noMultiLvlLbl val="0"/>
      </c:catAx>
      <c:valAx>
        <c:axId val="21337987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8070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6</xdr:row>
      <xdr:rowOff>9525</xdr:rowOff>
    </xdr:from>
    <xdr:to>
      <xdr:col>7</xdr:col>
      <xdr:colOff>342900</xdr:colOff>
      <xdr:row>10</xdr:row>
      <xdr:rowOff>38100</xdr:rowOff>
    </xdr:to>
    <xdr:sp macro="" textlink="Pivot_Table!#REF!">
      <xdr:nvSpPr>
        <xdr:cNvPr id="5" name="Rounded Rectangle 4"/>
        <xdr:cNvSpPr/>
      </xdr:nvSpPr>
      <xdr:spPr>
        <a:xfrm>
          <a:off x="333375" y="1181100"/>
          <a:ext cx="5105400" cy="790575"/>
        </a:xfrm>
        <a:prstGeom prst="roundRect">
          <a:avLst/>
        </a:prstGeom>
        <a:solidFill>
          <a:schemeClr val="accent1">
            <a:lumMod val="60000"/>
            <a:lumOff val="40000"/>
          </a:schemeClr>
        </a:solidFill>
        <a:ln w="3175">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D2E74C32-2853-4699-AC1F-7DFEA4D738D6}" type="TxLink">
            <a:rPr lang="en-US" sz="1100" b="0" i="0" u="none" strike="noStrike">
              <a:solidFill>
                <a:srgbClr val="000000"/>
              </a:solidFill>
              <a:latin typeface="Calibri"/>
              <a:cs typeface="Calibri"/>
            </a:rPr>
            <a:pPr algn="l"/>
            <a:t> </a:t>
          </a:fld>
          <a:endParaRPr lang="en-US" sz="1100"/>
        </a:p>
      </xdr:txBody>
    </xdr:sp>
    <xdr:clientData/>
  </xdr:twoCellAnchor>
  <xdr:twoCellAnchor>
    <xdr:from>
      <xdr:col>5</xdr:col>
      <xdr:colOff>590549</xdr:colOff>
      <xdr:row>7</xdr:row>
      <xdr:rowOff>9525</xdr:rowOff>
    </xdr:from>
    <xdr:to>
      <xdr:col>7</xdr:col>
      <xdr:colOff>333374</xdr:colOff>
      <xdr:row>9</xdr:row>
      <xdr:rowOff>66675</xdr:rowOff>
    </xdr:to>
    <xdr:sp macro="" textlink="KPI_Quantity">
      <xdr:nvSpPr>
        <xdr:cNvPr id="9" name="TextBox 8"/>
        <xdr:cNvSpPr txBox="1"/>
      </xdr:nvSpPr>
      <xdr:spPr>
        <a:xfrm>
          <a:off x="4371974" y="1371600"/>
          <a:ext cx="1057275" cy="438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F102EF5-4242-4D72-9A30-DF62FB859A5E}" type="TxLink">
            <a:rPr lang="en-US" sz="1400" b="1" i="0" u="none" strike="noStrike">
              <a:solidFill>
                <a:srgbClr val="000000"/>
              </a:solidFill>
              <a:latin typeface="Calibri"/>
              <a:cs typeface="Calibri"/>
            </a:rPr>
            <a:pPr algn="ctr"/>
            <a:t> 4,012 </a:t>
          </a:fld>
          <a:endParaRPr lang="en-US" sz="1400" b="1"/>
        </a:p>
      </xdr:txBody>
    </xdr:sp>
    <xdr:clientData/>
  </xdr:twoCellAnchor>
  <xdr:twoCellAnchor>
    <xdr:from>
      <xdr:col>1</xdr:col>
      <xdr:colOff>0</xdr:colOff>
      <xdr:row>7</xdr:row>
      <xdr:rowOff>9526</xdr:rowOff>
    </xdr:from>
    <xdr:to>
      <xdr:col>2</xdr:col>
      <xdr:colOff>285750</xdr:colOff>
      <xdr:row>9</xdr:row>
      <xdr:rowOff>66675</xdr:rowOff>
    </xdr:to>
    <xdr:sp macro="" textlink="KPI_Revenue">
      <xdr:nvSpPr>
        <xdr:cNvPr id="10" name="TextBox 9"/>
        <xdr:cNvSpPr txBox="1"/>
      </xdr:nvSpPr>
      <xdr:spPr>
        <a:xfrm>
          <a:off x="333375" y="1371601"/>
          <a:ext cx="876300" cy="438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0A2694-F3A7-45EA-9804-BD99DA9108FE}" type="TxLink">
            <a:rPr lang="en-US" sz="1400" b="1" i="0" u="none" strike="noStrike">
              <a:solidFill>
                <a:srgbClr val="000000"/>
              </a:solidFill>
              <a:latin typeface="Calibri"/>
              <a:cs typeface="Calibri"/>
            </a:rPr>
            <a:pPr algn="ctr"/>
            <a:t>$355,048</a:t>
          </a:fld>
          <a:endParaRPr lang="en-US" sz="1400" b="1"/>
        </a:p>
      </xdr:txBody>
    </xdr:sp>
    <xdr:clientData/>
  </xdr:twoCellAnchor>
  <xdr:twoCellAnchor>
    <xdr:from>
      <xdr:col>2</xdr:col>
      <xdr:colOff>685800</xdr:colOff>
      <xdr:row>7</xdr:row>
      <xdr:rowOff>9524</xdr:rowOff>
    </xdr:from>
    <xdr:to>
      <xdr:col>3</xdr:col>
      <xdr:colOff>857250</xdr:colOff>
      <xdr:row>9</xdr:row>
      <xdr:rowOff>66675</xdr:rowOff>
    </xdr:to>
    <xdr:sp macro="" textlink="KPI_Profit">
      <xdr:nvSpPr>
        <xdr:cNvPr id="11" name="TextBox 10"/>
        <xdr:cNvSpPr txBox="1"/>
      </xdr:nvSpPr>
      <xdr:spPr>
        <a:xfrm>
          <a:off x="1609725" y="1371599"/>
          <a:ext cx="923925" cy="4381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F134212-33AA-4FBF-AB2A-DC5DB2544D69}" type="TxLink">
            <a:rPr lang="en-US" sz="1400" b="1" i="0" u="none" strike="noStrike">
              <a:solidFill>
                <a:srgbClr val="000000"/>
              </a:solidFill>
              <a:latin typeface="Calibri"/>
              <a:cs typeface="Calibri"/>
            </a:rPr>
            <a:pPr algn="ctr"/>
            <a:t>$162,335</a:t>
          </a:fld>
          <a:endParaRPr lang="en-US" sz="1400" b="1"/>
        </a:p>
      </xdr:txBody>
    </xdr:sp>
    <xdr:clientData/>
  </xdr:twoCellAnchor>
  <xdr:twoCellAnchor>
    <xdr:from>
      <xdr:col>4</xdr:col>
      <xdr:colOff>57150</xdr:colOff>
      <xdr:row>7</xdr:row>
      <xdr:rowOff>9524</xdr:rowOff>
    </xdr:from>
    <xdr:to>
      <xdr:col>5</xdr:col>
      <xdr:colOff>123825</xdr:colOff>
      <xdr:row>9</xdr:row>
      <xdr:rowOff>66675</xdr:rowOff>
    </xdr:to>
    <xdr:sp macro="" textlink="KPI_Margin">
      <xdr:nvSpPr>
        <xdr:cNvPr id="12" name="TextBox 11"/>
        <xdr:cNvSpPr txBox="1"/>
      </xdr:nvSpPr>
      <xdr:spPr>
        <a:xfrm>
          <a:off x="2924175" y="1371599"/>
          <a:ext cx="981075" cy="4381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D990B3-71FA-4DB2-92AD-5502BD8CF451}" type="TxLink">
            <a:rPr lang="en-US" sz="1400" b="1" i="0" u="none" strike="noStrike">
              <a:solidFill>
                <a:srgbClr val="000000"/>
              </a:solidFill>
              <a:latin typeface="Calibri"/>
              <a:cs typeface="Calibri"/>
            </a:rPr>
            <a:pPr algn="ctr"/>
            <a:t>47%</a:t>
          </a:fld>
          <a:endParaRPr lang="en-US" sz="14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600074</xdr:colOff>
      <xdr:row>2</xdr:row>
      <xdr:rowOff>123825</xdr:rowOff>
    </xdr:from>
    <xdr:to>
      <xdr:col>8</xdr:col>
      <xdr:colOff>323850</xdr:colOff>
      <xdr:row>6</xdr:row>
      <xdr:rowOff>152400</xdr:rowOff>
    </xdr:to>
    <xdr:sp macro="" textlink="Pivot_Table!#REF!">
      <xdr:nvSpPr>
        <xdr:cNvPr id="2" name="Rounded Rectangle 1"/>
        <xdr:cNvSpPr/>
      </xdr:nvSpPr>
      <xdr:spPr>
        <a:xfrm>
          <a:off x="600074" y="504825"/>
          <a:ext cx="4600576" cy="790575"/>
        </a:xfrm>
        <a:prstGeom prst="roundRect">
          <a:avLst/>
        </a:prstGeom>
        <a:solidFill>
          <a:schemeClr val="accent1">
            <a:lumMod val="60000"/>
            <a:lumOff val="40000"/>
          </a:schemeClr>
        </a:solidFill>
        <a:ln w="3175">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D2E74C32-2853-4699-AC1F-7DFEA4D738D6}" type="TxLink">
            <a:rPr lang="en-US" sz="1100" b="0" i="0" u="none" strike="noStrike">
              <a:solidFill>
                <a:srgbClr val="000000"/>
              </a:solidFill>
              <a:latin typeface="Calibri"/>
              <a:cs typeface="Calibri"/>
            </a:rPr>
            <a:pPr algn="l"/>
            <a:t> </a:t>
          </a:fld>
          <a:endParaRPr lang="en-US" sz="1100"/>
        </a:p>
      </xdr:txBody>
    </xdr:sp>
    <xdr:clientData/>
  </xdr:twoCellAnchor>
  <xdr:twoCellAnchor>
    <xdr:from>
      <xdr:col>6</xdr:col>
      <xdr:colOff>571499</xdr:colOff>
      <xdr:row>3</xdr:row>
      <xdr:rowOff>114300</xdr:rowOff>
    </xdr:from>
    <xdr:to>
      <xdr:col>8</xdr:col>
      <xdr:colOff>314324</xdr:colOff>
      <xdr:row>5</xdr:row>
      <xdr:rowOff>171450</xdr:rowOff>
    </xdr:to>
    <xdr:sp macro="" textlink="KPI_Quantity">
      <xdr:nvSpPr>
        <xdr:cNvPr id="3" name="TextBox 2"/>
        <xdr:cNvSpPr txBox="1"/>
      </xdr:nvSpPr>
      <xdr:spPr>
        <a:xfrm>
          <a:off x="4229099" y="685800"/>
          <a:ext cx="962025" cy="438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F102EF5-4242-4D72-9A30-DF62FB859A5E}" type="TxLink">
            <a:rPr lang="en-US" sz="1400" b="1" i="0" u="none" strike="noStrike">
              <a:solidFill>
                <a:srgbClr val="000000"/>
              </a:solidFill>
              <a:latin typeface="Calibri"/>
              <a:cs typeface="Calibri"/>
            </a:rPr>
            <a:pPr algn="ctr"/>
            <a:t> 4,012 </a:t>
          </a:fld>
          <a:endParaRPr lang="en-US" sz="1400" b="1"/>
        </a:p>
      </xdr:txBody>
    </xdr:sp>
    <xdr:clientData/>
  </xdr:twoCellAnchor>
  <xdr:twoCellAnchor>
    <xdr:from>
      <xdr:col>1</xdr:col>
      <xdr:colOff>0</xdr:colOff>
      <xdr:row>3</xdr:row>
      <xdr:rowOff>114301</xdr:rowOff>
    </xdr:from>
    <xdr:to>
      <xdr:col>2</xdr:col>
      <xdr:colOff>304800</xdr:colOff>
      <xdr:row>5</xdr:row>
      <xdr:rowOff>171450</xdr:rowOff>
    </xdr:to>
    <xdr:sp macro="" textlink="KPI_Revenue">
      <xdr:nvSpPr>
        <xdr:cNvPr id="4" name="TextBox 3"/>
        <xdr:cNvSpPr txBox="1"/>
      </xdr:nvSpPr>
      <xdr:spPr>
        <a:xfrm>
          <a:off x="609600" y="685801"/>
          <a:ext cx="914400" cy="438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0A2694-F3A7-45EA-9804-BD99DA9108FE}" type="TxLink">
            <a:rPr lang="en-US" sz="1400" b="1" i="0" u="none" strike="noStrike">
              <a:solidFill>
                <a:srgbClr val="000000"/>
              </a:solidFill>
              <a:latin typeface="Calibri"/>
              <a:cs typeface="Calibri"/>
            </a:rPr>
            <a:pPr algn="ctr"/>
            <a:t>$355,048</a:t>
          </a:fld>
          <a:endParaRPr lang="en-US" sz="1400" b="1"/>
        </a:p>
      </xdr:txBody>
    </xdr:sp>
    <xdr:clientData/>
  </xdr:twoCellAnchor>
  <xdr:twoCellAnchor>
    <xdr:from>
      <xdr:col>3</xdr:col>
      <xdr:colOff>19049</xdr:colOff>
      <xdr:row>3</xdr:row>
      <xdr:rowOff>114299</xdr:rowOff>
    </xdr:from>
    <xdr:to>
      <xdr:col>4</xdr:col>
      <xdr:colOff>352424</xdr:colOff>
      <xdr:row>5</xdr:row>
      <xdr:rowOff>171450</xdr:rowOff>
    </xdr:to>
    <xdr:sp macro="" textlink="KPI_Profit">
      <xdr:nvSpPr>
        <xdr:cNvPr id="5" name="TextBox 4"/>
        <xdr:cNvSpPr txBox="1"/>
      </xdr:nvSpPr>
      <xdr:spPr>
        <a:xfrm>
          <a:off x="1847849" y="685799"/>
          <a:ext cx="942975" cy="4381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F134212-33AA-4FBF-AB2A-DC5DB2544D69}" type="TxLink">
            <a:rPr lang="en-US" sz="1400" b="1" i="0" u="none" strike="noStrike">
              <a:solidFill>
                <a:srgbClr val="000000"/>
              </a:solidFill>
              <a:latin typeface="Calibri"/>
              <a:cs typeface="Calibri"/>
            </a:rPr>
            <a:pPr algn="ctr"/>
            <a:t>$162,335</a:t>
          </a:fld>
          <a:endParaRPr lang="en-US" sz="1400" b="1"/>
        </a:p>
      </xdr:txBody>
    </xdr:sp>
    <xdr:clientData/>
  </xdr:twoCellAnchor>
  <xdr:twoCellAnchor>
    <xdr:from>
      <xdr:col>5</xdr:col>
      <xdr:colOff>85725</xdr:colOff>
      <xdr:row>3</xdr:row>
      <xdr:rowOff>114299</xdr:rowOff>
    </xdr:from>
    <xdr:to>
      <xdr:col>6</xdr:col>
      <xdr:colOff>152400</xdr:colOff>
      <xdr:row>5</xdr:row>
      <xdr:rowOff>171450</xdr:rowOff>
    </xdr:to>
    <xdr:sp macro="" textlink="KPI_Margin">
      <xdr:nvSpPr>
        <xdr:cNvPr id="6" name="TextBox 5"/>
        <xdr:cNvSpPr txBox="1"/>
      </xdr:nvSpPr>
      <xdr:spPr>
        <a:xfrm>
          <a:off x="3133725" y="685799"/>
          <a:ext cx="676275" cy="4381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D990B3-71FA-4DB2-92AD-5502BD8CF451}" type="TxLink">
            <a:rPr lang="en-US" sz="1400" b="1" i="0" u="none" strike="noStrike">
              <a:solidFill>
                <a:srgbClr val="000000"/>
              </a:solidFill>
              <a:latin typeface="Calibri"/>
              <a:cs typeface="Calibri"/>
            </a:rPr>
            <a:pPr algn="ctr"/>
            <a:t>47%</a:t>
          </a:fld>
          <a:endParaRPr lang="en-US" sz="1400" b="1"/>
        </a:p>
      </xdr:txBody>
    </xdr:sp>
    <xdr:clientData/>
  </xdr:twoCellAnchor>
  <xdr:twoCellAnchor>
    <xdr:from>
      <xdr:col>0</xdr:col>
      <xdr:colOff>609599</xdr:colOff>
      <xdr:row>13</xdr:row>
      <xdr:rowOff>9525</xdr:rowOff>
    </xdr:from>
    <xdr:to>
      <xdr:col>8</xdr:col>
      <xdr:colOff>9525</xdr:colOff>
      <xdr:row>26</xdr:row>
      <xdr:rowOff>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600075</xdr:colOff>
      <xdr:row>31</xdr:row>
      <xdr:rowOff>0</xdr:rowOff>
    </xdr:from>
    <xdr:to>
      <xdr:col>8</xdr:col>
      <xdr:colOff>9525</xdr:colOff>
      <xdr:row>44</xdr:row>
      <xdr:rowOff>9525</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609599</xdr:colOff>
      <xdr:row>49</xdr:row>
      <xdr:rowOff>0</xdr:rowOff>
    </xdr:from>
    <xdr:to>
      <xdr:col>8</xdr:col>
      <xdr:colOff>9524</xdr:colOff>
      <xdr:row>61</xdr:row>
      <xdr:rowOff>180975</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xdr:row>
      <xdr:rowOff>180976</xdr:rowOff>
    </xdr:from>
    <xdr:to>
      <xdr:col>18</xdr:col>
      <xdr:colOff>19050</xdr:colOff>
      <xdr:row>16</xdr:row>
      <xdr:rowOff>1</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609599</xdr:colOff>
      <xdr:row>21</xdr:row>
      <xdr:rowOff>0</xdr:rowOff>
    </xdr:from>
    <xdr:to>
      <xdr:col>17</xdr:col>
      <xdr:colOff>0</xdr:colOff>
      <xdr:row>34</xdr:row>
      <xdr:rowOff>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0</xdr:colOff>
      <xdr:row>39</xdr:row>
      <xdr:rowOff>0</xdr:rowOff>
    </xdr:from>
    <xdr:to>
      <xdr:col>18</xdr:col>
      <xdr:colOff>0</xdr:colOff>
      <xdr:row>52</xdr:row>
      <xdr:rowOff>9525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190500</xdr:colOff>
      <xdr:row>21</xdr:row>
      <xdr:rowOff>0</xdr:rowOff>
    </xdr:from>
    <xdr:to>
      <xdr:col>19</xdr:col>
      <xdr:colOff>285750</xdr:colOff>
      <xdr:row>30</xdr:row>
      <xdr:rowOff>0</xdr:rowOff>
    </xdr:to>
    <mc:AlternateContent xmlns:mc="http://schemas.openxmlformats.org/markup-compatibility/2006" xmlns:a14="http://schemas.microsoft.com/office/drawing/2010/main">
      <mc:Choice Requires="a14">
        <xdr:graphicFrame macro="">
          <xdr:nvGraphicFramePr>
            <xdr:cNvPr id="13"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591800" y="4067175"/>
              <a:ext cx="1314450" cy="1733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21</xdr:row>
      <xdr:rowOff>0</xdr:rowOff>
    </xdr:from>
    <xdr:to>
      <xdr:col>22</xdr:col>
      <xdr:colOff>104774</xdr:colOff>
      <xdr:row>30</xdr:row>
      <xdr:rowOff>9525</xdr:rowOff>
    </xdr:to>
    <mc:AlternateContent xmlns:mc="http://schemas.openxmlformats.org/markup-compatibility/2006" xmlns:a14="http://schemas.microsoft.com/office/drawing/2010/main">
      <mc:Choice Requires="a14">
        <xdr:graphicFrame macro="">
          <xdr:nvGraphicFramePr>
            <xdr:cNvPr id="14" name="Brand"/>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12230100" y="4067175"/>
              <a:ext cx="1323974" cy="1743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xdr:colOff>
      <xdr:row>57</xdr:row>
      <xdr:rowOff>0</xdr:rowOff>
    </xdr:from>
    <xdr:to>
      <xdr:col>18</xdr:col>
      <xdr:colOff>19051</xdr:colOff>
      <xdr:row>70</xdr:row>
      <xdr:rowOff>9525</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Osunbanjo Damismart" refreshedDate="46251.89558877315" createdVersion="6" refreshedVersion="6" minRefreshableVersion="3" recordCount="500">
  <cacheSource type="worksheet">
    <worksheetSource name="Table1"/>
  </cacheSource>
  <cacheFields count="18">
    <cacheField name="Date" numFmtId="14">
      <sharedItems containsDate="1" containsMixedTypes="1" minDate="2026-01-01T00:00:00" maxDate="2026-12-09T00:00:00"/>
    </cacheField>
    <cacheField name="Year" numFmtId="14">
      <sharedItems/>
    </cacheField>
    <cacheField name="Day" numFmtId="14">
      <sharedItems/>
    </cacheField>
    <cacheField name="Month" numFmtId="14">
      <sharedItems count="21">
        <s v="May"/>
        <s v="Jun"/>
        <s v="Nov"/>
        <s v="Apr"/>
        <s v="Dec"/>
        <s v="Jan"/>
        <s v="Mar"/>
        <s v="Oct"/>
        <s v="Jul"/>
        <s v="Feb"/>
        <s v="Aug"/>
        <s v="Sep"/>
        <s v="46" u="1"/>
        <s v="02" u="1"/>
        <s v="04" u="1"/>
        <s v="06" u="1"/>
        <s v="08" u="1"/>
        <s v="01" u="1"/>
        <s v="03" u="1"/>
        <s v="05" u="1"/>
        <s v="07" u="1"/>
      </sharedItems>
    </cacheField>
    <cacheField name="Product Cleaned" numFmtId="0">
      <sharedItems count="8">
        <s v="Monk Straps"/>
        <s v="Loafers"/>
        <s v="Derby"/>
        <s v="Boots"/>
        <s v="Canvas"/>
        <s v="Oxford"/>
        <s v="Brogues"/>
        <s v="Slippers"/>
      </sharedItems>
    </cacheField>
    <cacheField name="Category Cleaned" numFmtId="0">
      <sharedItems count="4">
        <s v="Formal"/>
        <s v="Utility"/>
        <s v="Casual"/>
        <s v="Open"/>
      </sharedItems>
    </cacheField>
    <cacheField name="Color" numFmtId="0">
      <sharedItems/>
    </cacheField>
    <cacheField name="Brand Cleaned" numFmtId="0">
      <sharedItems count="5">
        <s v="Nike"/>
        <s v="Clarks"/>
        <s v="Timberland"/>
        <s v="Zara"/>
        <s v="Steve Madden"/>
      </sharedItems>
    </cacheField>
    <cacheField name="Country" numFmtId="0">
      <sharedItems/>
    </cacheField>
    <cacheField name="Quantity" numFmtId="0">
      <sharedItems containsSemiMixedTypes="0" containsString="0" containsNumber="1" containsInteger="1" minValue="1" maxValue="15"/>
    </cacheField>
    <cacheField name="Payment Type" numFmtId="0">
      <sharedItems count="4">
        <s v="Bank Transfer"/>
        <s v="Card"/>
        <s v="Cash"/>
        <s v="Mobile Money"/>
      </sharedItems>
    </cacheField>
    <cacheField name="Selling Price" numFmtId="0">
      <sharedItems/>
    </cacheField>
    <cacheField name="Cost Price" numFmtId="0">
      <sharedItems/>
    </cacheField>
    <cacheField name="Total Revenue" numFmtId="0">
      <sharedItems containsSemiMixedTypes="0" containsString="0" containsNumber="1" containsInteger="1" minValue="32" maxValue="1920"/>
    </cacheField>
    <cacheField name="Cost" numFmtId="0">
      <sharedItems containsSemiMixedTypes="0" containsString="0" containsNumber="1" containsInteger="1" minValue="14" maxValue="1080"/>
    </cacheField>
    <cacheField name="Profit " numFmtId="0">
      <sharedItems containsSemiMixedTypes="0" containsString="0" containsNumber="1" containsInteger="1" minValue="18" maxValue="840"/>
    </cacheField>
    <cacheField name="Profit Margin" numFmtId="9">
      <sharedItems containsSemiMixedTypes="0" containsString="0" containsNumber="1" minValue="0.42857142857142855" maxValue="0.5625"/>
    </cacheField>
    <cacheField name="Actual_Margin" numFmtId="0" formula="'Profit ' /'Total Revenue'"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
  <r>
    <s v="05/19/2026"/>
    <s v="2026"/>
    <s v="19"/>
    <x v="0"/>
    <x v="0"/>
    <x v="0"/>
    <s v="Red"/>
    <x v="0"/>
    <s v="Uganda"/>
    <n v="7"/>
    <x v="0"/>
    <s v="$89.00"/>
    <s v="$47.00"/>
    <n v="623"/>
    <n v="329"/>
    <n v="294"/>
    <n v="0.47191011235955055"/>
  </r>
  <r>
    <s v="06/26/2026"/>
    <s v="2026"/>
    <s v="26"/>
    <x v="1"/>
    <x v="1"/>
    <x v="0"/>
    <s v="Black"/>
    <x v="0"/>
    <s v="Uganda"/>
    <n v="1"/>
    <x v="1"/>
    <s v="$54.00"/>
    <s v="$28.00"/>
    <n v="54"/>
    <n v="28"/>
    <n v="26"/>
    <n v="0.48148148148148145"/>
  </r>
  <r>
    <s v="05/30/2026"/>
    <s v="2026"/>
    <s v="30"/>
    <x v="0"/>
    <x v="2"/>
    <x v="0"/>
    <s v="Green"/>
    <x v="1"/>
    <s v="Nigeria"/>
    <n v="7"/>
    <x v="0"/>
    <s v="$32.00"/>
    <s v="$14.00"/>
    <n v="224"/>
    <n v="98"/>
    <n v="126"/>
    <n v="0.5625"/>
  </r>
  <r>
    <d v="2026-11-07T00:00:00"/>
    <s v="6333"/>
    <s v="33"/>
    <x v="2"/>
    <x v="3"/>
    <x v="1"/>
    <s v="Black"/>
    <x v="0"/>
    <s v="Canada"/>
    <n v="6"/>
    <x v="0"/>
    <s v="$76.00"/>
    <s v="$39.00"/>
    <n v="456"/>
    <n v="234"/>
    <n v="222"/>
    <n v="0.48684210526315791"/>
  </r>
  <r>
    <s v="04/18/2026"/>
    <s v="2026"/>
    <s v="18"/>
    <x v="3"/>
    <x v="3"/>
    <x v="2"/>
    <s v="Red"/>
    <x v="1"/>
    <s v="UK"/>
    <n v="6"/>
    <x v="0"/>
    <s v="$76.00"/>
    <s v="$39.00"/>
    <n v="456"/>
    <n v="234"/>
    <n v="222"/>
    <n v="0.48684210526315791"/>
  </r>
  <r>
    <d v="2026-12-03T00:00:00"/>
    <s v="6359"/>
    <s v="59"/>
    <x v="2"/>
    <x v="4"/>
    <x v="1"/>
    <s v="Blue"/>
    <x v="0"/>
    <s v="Ghana"/>
    <n v="6"/>
    <x v="1"/>
    <s v="$128.00"/>
    <s v="$72.00"/>
    <n v="768"/>
    <n v="432"/>
    <n v="336"/>
    <n v="0.4375"/>
  </r>
  <r>
    <s v="06/18/2026"/>
    <s v="2026"/>
    <s v="18"/>
    <x v="1"/>
    <x v="4"/>
    <x v="0"/>
    <s v="Green"/>
    <x v="1"/>
    <s v="USA"/>
    <n v="13"/>
    <x v="2"/>
    <s v="$128.00"/>
    <s v="$72.00"/>
    <n v="1664"/>
    <n v="936"/>
    <n v="728"/>
    <n v="0.4375"/>
  </r>
  <r>
    <d v="2026-09-07T00:00:00"/>
    <s v="6272"/>
    <s v="72"/>
    <x v="4"/>
    <x v="0"/>
    <x v="0"/>
    <s v="Brown"/>
    <x v="2"/>
    <s v="USA"/>
    <n v="12"/>
    <x v="2"/>
    <s v="$89.00"/>
    <s v="$47.00"/>
    <n v="1068"/>
    <n v="564"/>
    <n v="504"/>
    <n v="0.47191011235955055"/>
  </r>
  <r>
    <s v="01/16/2026"/>
    <s v="2026"/>
    <s v="16"/>
    <x v="5"/>
    <x v="2"/>
    <x v="0"/>
    <s v="Green"/>
    <x v="1"/>
    <s v="Australia"/>
    <n v="10"/>
    <x v="2"/>
    <s v="$32.00"/>
    <s v="$14.00"/>
    <n v="320"/>
    <n v="140"/>
    <n v="180"/>
    <n v="0.5625"/>
  </r>
  <r>
    <d v="2026-09-06T00:00:00"/>
    <s v="6271"/>
    <s v="71"/>
    <x v="4"/>
    <x v="5"/>
    <x v="0"/>
    <s v="Black"/>
    <x v="1"/>
    <s v="Cyprus"/>
    <n v="15"/>
    <x v="3"/>
    <s v="$105.00"/>
    <s v="$58.00"/>
    <n v="1575"/>
    <n v="870"/>
    <n v="705"/>
    <n v="0.44761904761904764"/>
  </r>
  <r>
    <s v="04/20/2026"/>
    <s v="2026"/>
    <s v="20"/>
    <x v="3"/>
    <x v="3"/>
    <x v="0"/>
    <s v="Brown"/>
    <x v="1"/>
    <s v="India"/>
    <n v="8"/>
    <x v="0"/>
    <s v="$76.00"/>
    <s v="$39.00"/>
    <n v="608"/>
    <n v="312"/>
    <n v="296"/>
    <n v="0.48684210526315791"/>
  </r>
  <r>
    <s v="03/16/2026"/>
    <s v="2026"/>
    <s v="16"/>
    <x v="6"/>
    <x v="1"/>
    <x v="2"/>
    <s v="Green"/>
    <x v="1"/>
    <s v="Australia"/>
    <n v="9"/>
    <x v="2"/>
    <s v="$54.00"/>
    <s v="$28.00"/>
    <n v="486"/>
    <n v="252"/>
    <n v="234"/>
    <n v="0.48148148148148145"/>
  </r>
  <r>
    <d v="2026-04-05T00:00:00"/>
    <s v="6117"/>
    <s v="17"/>
    <x v="7"/>
    <x v="6"/>
    <x v="1"/>
    <s v="Green"/>
    <x v="0"/>
    <s v="Germany"/>
    <n v="14"/>
    <x v="0"/>
    <s v="$112.00"/>
    <s v="$64.00"/>
    <n v="1568"/>
    <n v="896"/>
    <n v="672"/>
    <n v="0.42857142857142855"/>
  </r>
  <r>
    <d v="2026-09-01T00:00:00"/>
    <s v="6266"/>
    <s v="66"/>
    <x v="4"/>
    <x v="5"/>
    <x v="0"/>
    <s v="Green"/>
    <x v="2"/>
    <s v="Nigeria"/>
    <n v="4"/>
    <x v="1"/>
    <s v="$105.00"/>
    <s v="$58.00"/>
    <n v="420"/>
    <n v="232"/>
    <n v="188"/>
    <n v="0.44761904761904764"/>
  </r>
  <r>
    <s v="06/26/2026"/>
    <s v="2026"/>
    <s v="26"/>
    <x v="1"/>
    <x v="7"/>
    <x v="0"/>
    <s v="Red"/>
    <x v="3"/>
    <s v="Uganda"/>
    <n v="6"/>
    <x v="1"/>
    <s v="$119.00"/>
    <s v="$67.00"/>
    <n v="714"/>
    <n v="402"/>
    <n v="312"/>
    <n v="0.43697478991596639"/>
  </r>
  <r>
    <s v="07/23/2026"/>
    <s v="2026"/>
    <s v="23"/>
    <x v="8"/>
    <x v="2"/>
    <x v="2"/>
    <s v="Green"/>
    <x v="3"/>
    <s v="Philippines"/>
    <n v="10"/>
    <x v="2"/>
    <s v="$32.00"/>
    <s v="$14.00"/>
    <n v="320"/>
    <n v="140"/>
    <n v="180"/>
    <n v="0.5625"/>
  </r>
  <r>
    <s v="04/13/2026"/>
    <s v="2026"/>
    <s v="13"/>
    <x v="3"/>
    <x v="3"/>
    <x v="3"/>
    <s v="Red"/>
    <x v="4"/>
    <s v="Nigeria"/>
    <n v="7"/>
    <x v="0"/>
    <s v="$76.00"/>
    <s v="$39.00"/>
    <n v="532"/>
    <n v="273"/>
    <n v="259"/>
    <n v="0.48684210526315791"/>
  </r>
  <r>
    <s v="05/20/2026"/>
    <s v="2026"/>
    <s v="20"/>
    <x v="0"/>
    <x v="2"/>
    <x v="2"/>
    <s v="Blue"/>
    <x v="1"/>
    <s v="UK"/>
    <n v="7"/>
    <x v="3"/>
    <s v="$32.00"/>
    <s v="$14.00"/>
    <n v="224"/>
    <n v="98"/>
    <n v="126"/>
    <n v="0.5625"/>
  </r>
  <r>
    <s v="03/31/2026"/>
    <s v="2026"/>
    <s v="31"/>
    <x v="6"/>
    <x v="5"/>
    <x v="3"/>
    <s v="Black"/>
    <x v="1"/>
    <s v="UK"/>
    <n v="11"/>
    <x v="2"/>
    <s v="$105.00"/>
    <s v="$58.00"/>
    <n v="1155"/>
    <n v="638"/>
    <n v="517"/>
    <n v="0.44761904761904764"/>
  </r>
  <r>
    <d v="2026-05-05T00:00:00"/>
    <s v="6147"/>
    <s v="47"/>
    <x v="2"/>
    <x v="3"/>
    <x v="1"/>
    <s v="Red"/>
    <x v="0"/>
    <s v="Zimbabwe"/>
    <n v="6"/>
    <x v="2"/>
    <s v="$76.00"/>
    <s v="$39.00"/>
    <n v="456"/>
    <n v="234"/>
    <n v="222"/>
    <n v="0.48684210526315791"/>
  </r>
  <r>
    <d v="2026-07-08T00:00:00"/>
    <s v="6211"/>
    <s v="11"/>
    <x v="7"/>
    <x v="0"/>
    <x v="0"/>
    <s v="Red"/>
    <x v="1"/>
    <s v="Germany"/>
    <n v="8"/>
    <x v="1"/>
    <s v="$89.00"/>
    <s v="$47.00"/>
    <n v="712"/>
    <n v="376"/>
    <n v="336"/>
    <n v="0.47191011235955055"/>
  </r>
  <r>
    <s v="07/14/2026"/>
    <s v="2026"/>
    <s v="14"/>
    <x v="8"/>
    <x v="6"/>
    <x v="2"/>
    <s v="Green"/>
    <x v="4"/>
    <s v="Australia"/>
    <n v="5"/>
    <x v="3"/>
    <s v="$112.00"/>
    <s v="$64.00"/>
    <n v="560"/>
    <n v="320"/>
    <n v="240"/>
    <n v="0.42857142857142855"/>
  </r>
  <r>
    <d v="2026-12-01T00:00:00"/>
    <s v="6357"/>
    <s v="57"/>
    <x v="2"/>
    <x v="5"/>
    <x v="0"/>
    <s v="Green"/>
    <x v="4"/>
    <s v="Zimbabwe"/>
    <n v="15"/>
    <x v="1"/>
    <s v="$105.00"/>
    <s v="$58.00"/>
    <n v="1575"/>
    <n v="870"/>
    <n v="705"/>
    <n v="0.44761904761904764"/>
  </r>
  <r>
    <s v="01/28/2026"/>
    <s v="2026"/>
    <s v="28"/>
    <x v="5"/>
    <x v="4"/>
    <x v="0"/>
    <s v="Green"/>
    <x v="4"/>
    <s v="Cyprus"/>
    <n v="1"/>
    <x v="1"/>
    <s v="$128.00"/>
    <s v="$72.00"/>
    <n v="128"/>
    <n v="72"/>
    <n v="56"/>
    <n v="0.4375"/>
  </r>
  <r>
    <s v="01/13/2026"/>
    <s v="2026"/>
    <s v="13"/>
    <x v="5"/>
    <x v="3"/>
    <x v="2"/>
    <s v="Blue"/>
    <x v="1"/>
    <s v="Ghana"/>
    <n v="12"/>
    <x v="2"/>
    <s v="$76.00"/>
    <s v="$39.00"/>
    <n v="912"/>
    <n v="468"/>
    <n v="444"/>
    <n v="0.48684210526315791"/>
  </r>
  <r>
    <s v="03/13/2026"/>
    <s v="2026"/>
    <s v="13"/>
    <x v="6"/>
    <x v="1"/>
    <x v="1"/>
    <s v="Green"/>
    <x v="4"/>
    <s v="India"/>
    <n v="9"/>
    <x v="3"/>
    <s v="$54.00"/>
    <s v="$28.00"/>
    <n v="486"/>
    <n v="252"/>
    <n v="234"/>
    <n v="0.48148148148148145"/>
  </r>
  <r>
    <d v="2026-11-07T00:00:00"/>
    <s v="6333"/>
    <s v="33"/>
    <x v="2"/>
    <x v="5"/>
    <x v="0"/>
    <s v="Green"/>
    <x v="1"/>
    <s v="Ghana"/>
    <n v="5"/>
    <x v="3"/>
    <s v="$105.00"/>
    <s v="$58.00"/>
    <n v="525"/>
    <n v="290"/>
    <n v="235"/>
    <n v="0.44761904761904764"/>
  </r>
  <r>
    <d v="2026-10-03T00:00:00"/>
    <s v="6298"/>
    <s v="98"/>
    <x v="5"/>
    <x v="1"/>
    <x v="2"/>
    <s v="Green"/>
    <x v="1"/>
    <s v="Zimbabwe"/>
    <n v="8"/>
    <x v="0"/>
    <s v="$54.00"/>
    <s v="$28.00"/>
    <n v="432"/>
    <n v="224"/>
    <n v="208"/>
    <n v="0.48148148148148145"/>
  </r>
  <r>
    <s v="04/30/2026"/>
    <s v="2026"/>
    <s v="30"/>
    <x v="3"/>
    <x v="5"/>
    <x v="0"/>
    <s v="Red"/>
    <x v="3"/>
    <s v="Nigeria"/>
    <n v="2"/>
    <x v="0"/>
    <s v="$105.00"/>
    <s v="$58.00"/>
    <n v="210"/>
    <n v="116"/>
    <n v="94"/>
    <n v="0.44761904761904764"/>
  </r>
  <r>
    <s v="02/15/2026"/>
    <s v="2026"/>
    <s v="15"/>
    <x v="9"/>
    <x v="0"/>
    <x v="0"/>
    <s v="Blue"/>
    <x v="3"/>
    <s v="Albania"/>
    <n v="7"/>
    <x v="2"/>
    <s v="$89.00"/>
    <s v="$47.00"/>
    <n v="623"/>
    <n v="329"/>
    <n v="294"/>
    <n v="0.47191011235955055"/>
  </r>
  <r>
    <s v="07/16/2026"/>
    <s v="2026"/>
    <s v="16"/>
    <x v="8"/>
    <x v="6"/>
    <x v="0"/>
    <s v="Red"/>
    <x v="4"/>
    <s v="Germany"/>
    <n v="12"/>
    <x v="3"/>
    <s v="$112.00"/>
    <s v="$64.00"/>
    <n v="1344"/>
    <n v="768"/>
    <n v="576"/>
    <n v="0.42857142857142855"/>
  </r>
  <r>
    <d v="2026-12-06T00:00:00"/>
    <s v="6362"/>
    <s v="62"/>
    <x v="4"/>
    <x v="4"/>
    <x v="0"/>
    <s v="Blue"/>
    <x v="1"/>
    <s v="Zimbabwe"/>
    <n v="15"/>
    <x v="1"/>
    <s v="$128.00"/>
    <s v="$72.00"/>
    <n v="1920"/>
    <n v="1080"/>
    <n v="840"/>
    <n v="0.4375"/>
  </r>
  <r>
    <d v="2026-02-08T00:00:00"/>
    <s v="6061"/>
    <s v="61"/>
    <x v="2"/>
    <x v="3"/>
    <x v="0"/>
    <s v="Red"/>
    <x v="3"/>
    <s v="Uganda"/>
    <n v="7"/>
    <x v="3"/>
    <s v="$76.00"/>
    <s v="$39.00"/>
    <n v="532"/>
    <n v="273"/>
    <n v="259"/>
    <n v="0.48684210526315791"/>
  </r>
  <r>
    <s v="03/30/2026"/>
    <s v="2026"/>
    <s v="30"/>
    <x v="6"/>
    <x v="6"/>
    <x v="0"/>
    <s v="Black"/>
    <x v="0"/>
    <s v="Cyprus"/>
    <n v="10"/>
    <x v="0"/>
    <s v="$112.00"/>
    <s v="$64.00"/>
    <n v="1120"/>
    <n v="640"/>
    <n v="480"/>
    <n v="0.42857142857142855"/>
  </r>
  <r>
    <s v="04/20/2026"/>
    <s v="2026"/>
    <s v="20"/>
    <x v="3"/>
    <x v="0"/>
    <x v="3"/>
    <s v="Green"/>
    <x v="0"/>
    <s v="Philippines"/>
    <n v="7"/>
    <x v="0"/>
    <s v="$89.00"/>
    <s v="$47.00"/>
    <n v="623"/>
    <n v="329"/>
    <n v="294"/>
    <n v="0.47191011235955055"/>
  </r>
  <r>
    <s v="07/25/2026"/>
    <s v="2026"/>
    <s v="25"/>
    <x v="8"/>
    <x v="3"/>
    <x v="0"/>
    <s v="Red"/>
    <x v="2"/>
    <s v="Canada"/>
    <n v="5"/>
    <x v="1"/>
    <s v="$76.00"/>
    <s v="$39.00"/>
    <n v="380"/>
    <n v="195"/>
    <n v="185"/>
    <n v="0.48684210526315791"/>
  </r>
  <r>
    <d v="2026-03-06T00:00:00"/>
    <s v="6087"/>
    <s v="87"/>
    <x v="4"/>
    <x v="3"/>
    <x v="0"/>
    <s v="Red"/>
    <x v="1"/>
    <s v="India"/>
    <n v="11"/>
    <x v="0"/>
    <s v="$76.00"/>
    <s v="$39.00"/>
    <n v="836"/>
    <n v="429"/>
    <n v="407"/>
    <n v="0.48684210526315791"/>
  </r>
  <r>
    <s v="07/23/2026"/>
    <s v="2026"/>
    <s v="23"/>
    <x v="8"/>
    <x v="7"/>
    <x v="2"/>
    <s v="Red"/>
    <x v="3"/>
    <s v="Zimbabwe"/>
    <n v="10"/>
    <x v="0"/>
    <s v="$119.00"/>
    <s v="$67.00"/>
    <n v="1190"/>
    <n v="670"/>
    <n v="520"/>
    <n v="0.43697478991596639"/>
  </r>
  <r>
    <s v="07/25/2026"/>
    <s v="2026"/>
    <s v="25"/>
    <x v="8"/>
    <x v="1"/>
    <x v="3"/>
    <s v="Green"/>
    <x v="1"/>
    <s v="USA"/>
    <n v="10"/>
    <x v="3"/>
    <s v="$54.00"/>
    <s v="$28.00"/>
    <n v="540"/>
    <n v="280"/>
    <n v="260"/>
    <n v="0.48148148148148145"/>
  </r>
  <r>
    <d v="2026-03-06T00:00:00"/>
    <s v="6087"/>
    <s v="87"/>
    <x v="4"/>
    <x v="5"/>
    <x v="0"/>
    <s v="Red"/>
    <x v="4"/>
    <s v="Germany"/>
    <n v="13"/>
    <x v="0"/>
    <s v="$105.00"/>
    <s v="$58.00"/>
    <n v="1365"/>
    <n v="754"/>
    <n v="611"/>
    <n v="0.44761904761904764"/>
  </r>
  <r>
    <d v="2026-09-03T00:00:00"/>
    <s v="6268"/>
    <s v="68"/>
    <x v="4"/>
    <x v="6"/>
    <x v="0"/>
    <s v="Blue"/>
    <x v="1"/>
    <s v="USA"/>
    <n v="7"/>
    <x v="2"/>
    <s v="$112.00"/>
    <s v="$64.00"/>
    <n v="784"/>
    <n v="448"/>
    <n v="336"/>
    <n v="0.42857142857142855"/>
  </r>
  <r>
    <s v="02/19/2026"/>
    <s v="2026"/>
    <s v="19"/>
    <x v="9"/>
    <x v="3"/>
    <x v="3"/>
    <s v="Green"/>
    <x v="0"/>
    <s v="Nigeria"/>
    <n v="14"/>
    <x v="2"/>
    <s v="$76.00"/>
    <s v="$39.00"/>
    <n v="1064"/>
    <n v="546"/>
    <n v="518"/>
    <n v="0.48684210526315791"/>
  </r>
  <r>
    <s v="07/17/2026"/>
    <s v="2026"/>
    <s v="17"/>
    <x v="8"/>
    <x v="5"/>
    <x v="3"/>
    <s v="Green"/>
    <x v="1"/>
    <s v="Ghana"/>
    <n v="13"/>
    <x v="3"/>
    <s v="$105.00"/>
    <s v="$58.00"/>
    <n v="1365"/>
    <n v="754"/>
    <n v="611"/>
    <n v="0.44761904761904764"/>
  </r>
  <r>
    <s v="04/15/2026"/>
    <s v="2026"/>
    <s v="15"/>
    <x v="3"/>
    <x v="1"/>
    <x v="3"/>
    <s v="Red"/>
    <x v="0"/>
    <s v="Philippines"/>
    <n v="3"/>
    <x v="1"/>
    <s v="$54.00"/>
    <s v="$28.00"/>
    <n v="162"/>
    <n v="84"/>
    <n v="78"/>
    <n v="0.48148148148148145"/>
  </r>
  <r>
    <s v="04/19/2026"/>
    <s v="2026"/>
    <s v="19"/>
    <x v="3"/>
    <x v="3"/>
    <x v="0"/>
    <s v="Green"/>
    <x v="4"/>
    <s v="UK"/>
    <n v="1"/>
    <x v="0"/>
    <s v="$76.00"/>
    <s v="$39.00"/>
    <n v="76"/>
    <n v="39"/>
    <n v="37"/>
    <n v="0.48684210526315791"/>
  </r>
  <r>
    <s v="05/23/2026"/>
    <s v="2026"/>
    <s v="23"/>
    <x v="0"/>
    <x v="6"/>
    <x v="0"/>
    <s v="Red"/>
    <x v="1"/>
    <s v="Germany"/>
    <n v="9"/>
    <x v="3"/>
    <s v="$112.00"/>
    <s v="$64.00"/>
    <n v="1008"/>
    <n v="576"/>
    <n v="432"/>
    <n v="0.42857142857142855"/>
  </r>
  <r>
    <d v="2026-03-08T00:00:00"/>
    <s v="6089"/>
    <s v="89"/>
    <x v="4"/>
    <x v="3"/>
    <x v="0"/>
    <s v="Green"/>
    <x v="3"/>
    <s v="Albania"/>
    <n v="5"/>
    <x v="3"/>
    <s v="$76.00"/>
    <s v="$39.00"/>
    <n v="380"/>
    <n v="195"/>
    <n v="185"/>
    <n v="0.48684210526315791"/>
  </r>
  <r>
    <d v="2026-05-03T00:00:00"/>
    <s v="6145"/>
    <s v="45"/>
    <x v="2"/>
    <x v="5"/>
    <x v="2"/>
    <s v="Black"/>
    <x v="0"/>
    <s v="USA"/>
    <n v="11"/>
    <x v="3"/>
    <s v="$105.00"/>
    <s v="$58.00"/>
    <n v="1155"/>
    <n v="638"/>
    <n v="517"/>
    <n v="0.44761904761904764"/>
  </r>
  <r>
    <s v="03/29/2026"/>
    <s v="2026"/>
    <s v="29"/>
    <x v="6"/>
    <x v="1"/>
    <x v="0"/>
    <s v="Black"/>
    <x v="3"/>
    <s v="USA"/>
    <n v="6"/>
    <x v="1"/>
    <s v="$54.00"/>
    <s v="$28.00"/>
    <n v="324"/>
    <n v="168"/>
    <n v="156"/>
    <n v="0.48148148148148145"/>
  </r>
  <r>
    <s v="06/27/2026"/>
    <s v="2026"/>
    <s v="27"/>
    <x v="1"/>
    <x v="3"/>
    <x v="1"/>
    <s v="Blue"/>
    <x v="3"/>
    <s v="Kenya"/>
    <n v="1"/>
    <x v="3"/>
    <s v="$76.00"/>
    <s v="$39.00"/>
    <n v="76"/>
    <n v="39"/>
    <n v="37"/>
    <n v="0.48684210526315791"/>
  </r>
  <r>
    <d v="2026-06-08T00:00:00"/>
    <s v="6181"/>
    <s v="81"/>
    <x v="4"/>
    <x v="4"/>
    <x v="2"/>
    <s v="Red"/>
    <x v="1"/>
    <s v="Albania"/>
    <n v="4"/>
    <x v="0"/>
    <s v="$128.00"/>
    <s v="$72.00"/>
    <n v="512"/>
    <n v="288"/>
    <n v="224"/>
    <n v="0.4375"/>
  </r>
  <r>
    <s v="01/29/2026"/>
    <s v="2026"/>
    <s v="29"/>
    <x v="5"/>
    <x v="5"/>
    <x v="1"/>
    <s v="Black"/>
    <x v="1"/>
    <s v="India"/>
    <n v="5"/>
    <x v="2"/>
    <s v="$105.00"/>
    <s v="$58.00"/>
    <n v="525"/>
    <n v="290"/>
    <n v="235"/>
    <n v="0.44761904761904764"/>
  </r>
  <r>
    <d v="2026-05-03T00:00:00"/>
    <s v="6145"/>
    <s v="45"/>
    <x v="2"/>
    <x v="0"/>
    <x v="0"/>
    <s v="Black"/>
    <x v="3"/>
    <s v="Uganda"/>
    <n v="4"/>
    <x v="1"/>
    <s v="$89.00"/>
    <s v="$47.00"/>
    <n v="356"/>
    <n v="188"/>
    <n v="168"/>
    <n v="0.47191011235955055"/>
  </r>
  <r>
    <s v="02/16/2026"/>
    <s v="2026"/>
    <s v="16"/>
    <x v="9"/>
    <x v="6"/>
    <x v="0"/>
    <s v="Black"/>
    <x v="3"/>
    <s v="Nigeria"/>
    <n v="1"/>
    <x v="3"/>
    <s v="$112.00"/>
    <s v="$64.00"/>
    <n v="112"/>
    <n v="64"/>
    <n v="48"/>
    <n v="0.42857142857142855"/>
  </r>
  <r>
    <s v="03/28/2026"/>
    <s v="2026"/>
    <s v="28"/>
    <x v="6"/>
    <x v="4"/>
    <x v="0"/>
    <s v="Red"/>
    <x v="0"/>
    <s v="Zimbabwe"/>
    <n v="4"/>
    <x v="0"/>
    <s v="$128.00"/>
    <s v="$72.00"/>
    <n v="512"/>
    <n v="288"/>
    <n v="224"/>
    <n v="0.4375"/>
  </r>
  <r>
    <d v="2026-02-04T00:00:00"/>
    <s v="6057"/>
    <s v="57"/>
    <x v="2"/>
    <x v="0"/>
    <x v="2"/>
    <s v="Black"/>
    <x v="1"/>
    <s v="Canada"/>
    <n v="5"/>
    <x v="1"/>
    <s v="$89.00"/>
    <s v="$47.00"/>
    <n v="445"/>
    <n v="235"/>
    <n v="210"/>
    <n v="0.47191011235955055"/>
  </r>
  <r>
    <d v="2026-02-06T00:00:00"/>
    <s v="6059"/>
    <s v="59"/>
    <x v="2"/>
    <x v="4"/>
    <x v="3"/>
    <s v="Black"/>
    <x v="4"/>
    <s v="Cyprus"/>
    <n v="2"/>
    <x v="2"/>
    <s v="$128.00"/>
    <s v="$72.00"/>
    <n v="256"/>
    <n v="144"/>
    <n v="112"/>
    <n v="0.4375"/>
  </r>
  <r>
    <s v="01/23/2026"/>
    <s v="2026"/>
    <s v="23"/>
    <x v="5"/>
    <x v="7"/>
    <x v="0"/>
    <s v="Red"/>
    <x v="0"/>
    <s v="Nigeria"/>
    <n v="1"/>
    <x v="0"/>
    <s v="$119.00"/>
    <s v="$67.00"/>
    <n v="119"/>
    <n v="67"/>
    <n v="52"/>
    <n v="0.43697478991596639"/>
  </r>
  <r>
    <s v="07/27/2026"/>
    <s v="2026"/>
    <s v="27"/>
    <x v="8"/>
    <x v="6"/>
    <x v="2"/>
    <s v="Green"/>
    <x v="0"/>
    <s v="Uganda"/>
    <n v="15"/>
    <x v="0"/>
    <s v="$112.00"/>
    <s v="$64.00"/>
    <n v="1680"/>
    <n v="960"/>
    <n v="720"/>
    <n v="0.42857142857142855"/>
  </r>
  <r>
    <s v="06/23/2026"/>
    <s v="2026"/>
    <s v="23"/>
    <x v="1"/>
    <x v="3"/>
    <x v="0"/>
    <s v="Green"/>
    <x v="4"/>
    <s v="UK"/>
    <n v="11"/>
    <x v="3"/>
    <s v="$76.00"/>
    <s v="$39.00"/>
    <n v="836"/>
    <n v="429"/>
    <n v="407"/>
    <n v="0.48684210526315791"/>
  </r>
  <r>
    <d v="2026-09-04T00:00:00"/>
    <s v="6269"/>
    <s v="69"/>
    <x v="4"/>
    <x v="5"/>
    <x v="1"/>
    <s v="Red"/>
    <x v="1"/>
    <s v="Ghana"/>
    <n v="10"/>
    <x v="1"/>
    <s v="$105.00"/>
    <s v="$58.00"/>
    <n v="1050"/>
    <n v="580"/>
    <n v="470"/>
    <n v="0.44761904761904764"/>
  </r>
  <r>
    <s v="06/21/2026"/>
    <s v="2026"/>
    <s v="21"/>
    <x v="1"/>
    <x v="4"/>
    <x v="0"/>
    <s v="Brown"/>
    <x v="4"/>
    <s v="Canada"/>
    <n v="9"/>
    <x v="1"/>
    <s v="$128.00"/>
    <s v="$72.00"/>
    <n v="1152"/>
    <n v="648"/>
    <n v="504"/>
    <n v="0.4375"/>
  </r>
  <r>
    <s v="02/28/2026"/>
    <s v="2026"/>
    <s v="28"/>
    <x v="9"/>
    <x v="1"/>
    <x v="0"/>
    <s v="Blue"/>
    <x v="0"/>
    <s v="Uganda"/>
    <n v="1"/>
    <x v="0"/>
    <s v="$54.00"/>
    <s v="$28.00"/>
    <n v="54"/>
    <n v="28"/>
    <n v="26"/>
    <n v="0.48148148148148145"/>
  </r>
  <r>
    <s v="06/24/2026"/>
    <s v="2026"/>
    <s v="24"/>
    <x v="1"/>
    <x v="5"/>
    <x v="0"/>
    <s v="Green"/>
    <x v="3"/>
    <s v="Cyprus"/>
    <n v="8"/>
    <x v="0"/>
    <s v="$105.00"/>
    <s v="$58.00"/>
    <n v="840"/>
    <n v="464"/>
    <n v="376"/>
    <n v="0.44761904761904764"/>
  </r>
  <r>
    <s v="03/31/2026"/>
    <s v="2026"/>
    <s v="31"/>
    <x v="6"/>
    <x v="5"/>
    <x v="2"/>
    <s v="Green"/>
    <x v="4"/>
    <s v="Germany"/>
    <n v="5"/>
    <x v="0"/>
    <s v="$105.00"/>
    <s v="$58.00"/>
    <n v="525"/>
    <n v="290"/>
    <n v="235"/>
    <n v="0.44761904761904764"/>
  </r>
  <r>
    <d v="2026-12-04T00:00:00"/>
    <s v="6360"/>
    <s v="60"/>
    <x v="2"/>
    <x v="2"/>
    <x v="2"/>
    <s v="Black"/>
    <x v="2"/>
    <s v="Nigeria"/>
    <n v="14"/>
    <x v="1"/>
    <s v="$32.00"/>
    <s v="$14.00"/>
    <n v="448"/>
    <n v="196"/>
    <n v="252"/>
    <n v="0.5625"/>
  </r>
  <r>
    <s v="05/19/2026"/>
    <s v="2026"/>
    <s v="19"/>
    <x v="0"/>
    <x v="0"/>
    <x v="3"/>
    <s v="Brown"/>
    <x v="1"/>
    <s v="UK"/>
    <n v="14"/>
    <x v="3"/>
    <s v="$89.00"/>
    <s v="$47.00"/>
    <n v="1246"/>
    <n v="658"/>
    <n v="588"/>
    <n v="0.47191011235955055"/>
  </r>
  <r>
    <d v="2026-06-01T00:00:00"/>
    <s v="6174"/>
    <s v="74"/>
    <x v="4"/>
    <x v="6"/>
    <x v="0"/>
    <s v="Black"/>
    <x v="1"/>
    <s v="Zimbabwe"/>
    <n v="8"/>
    <x v="3"/>
    <s v="$112.00"/>
    <s v="$64.00"/>
    <n v="896"/>
    <n v="512"/>
    <n v="384"/>
    <n v="0.42857142857142855"/>
  </r>
  <r>
    <d v="2026-06-06T00:00:00"/>
    <s v="6179"/>
    <s v="79"/>
    <x v="4"/>
    <x v="1"/>
    <x v="0"/>
    <s v="Black"/>
    <x v="1"/>
    <s v="Philippines"/>
    <n v="7"/>
    <x v="0"/>
    <s v="$54.00"/>
    <s v="$28.00"/>
    <n v="378"/>
    <n v="196"/>
    <n v="182"/>
    <n v="0.48148148148148145"/>
  </r>
  <r>
    <d v="2026-09-06T00:00:00"/>
    <s v="6271"/>
    <s v="71"/>
    <x v="4"/>
    <x v="6"/>
    <x v="3"/>
    <s v="Green"/>
    <x v="1"/>
    <s v="Philippines"/>
    <n v="7"/>
    <x v="3"/>
    <s v="$112.00"/>
    <s v="$64.00"/>
    <n v="784"/>
    <n v="448"/>
    <n v="336"/>
    <n v="0.42857142857142855"/>
  </r>
  <r>
    <d v="2026-04-03T00:00:00"/>
    <s v="6115"/>
    <s v="15"/>
    <x v="7"/>
    <x v="0"/>
    <x v="0"/>
    <s v="Green"/>
    <x v="2"/>
    <s v="Ghana"/>
    <n v="8"/>
    <x v="2"/>
    <s v="$89.00"/>
    <s v="$47.00"/>
    <n v="712"/>
    <n v="376"/>
    <n v="336"/>
    <n v="0.47191011235955055"/>
  </r>
  <r>
    <d v="2026-10-07T00:00:00"/>
    <s v="6302"/>
    <s v="02"/>
    <x v="7"/>
    <x v="2"/>
    <x v="2"/>
    <s v="Green"/>
    <x v="1"/>
    <s v="UK"/>
    <n v="9"/>
    <x v="3"/>
    <s v="$32.00"/>
    <s v="$14.00"/>
    <n v="288"/>
    <n v="126"/>
    <n v="162"/>
    <n v="0.5625"/>
  </r>
  <r>
    <d v="2026-08-03T00:00:00"/>
    <s v="6237"/>
    <s v="37"/>
    <x v="2"/>
    <x v="3"/>
    <x v="0"/>
    <s v="Brown"/>
    <x v="3"/>
    <s v="UK"/>
    <n v="5"/>
    <x v="1"/>
    <s v="$76.00"/>
    <s v="$39.00"/>
    <n v="380"/>
    <n v="195"/>
    <n v="185"/>
    <n v="0.48684210526315791"/>
  </r>
  <r>
    <d v="2026-01-06T00:00:00"/>
    <s v="6028"/>
    <s v="28"/>
    <x v="7"/>
    <x v="3"/>
    <x v="0"/>
    <s v="Blue"/>
    <x v="4"/>
    <s v="Philippines"/>
    <n v="9"/>
    <x v="2"/>
    <s v="$76.00"/>
    <s v="$39.00"/>
    <n v="684"/>
    <n v="351"/>
    <n v="333"/>
    <n v="0.48684210526315791"/>
  </r>
  <r>
    <s v="02/24/2026"/>
    <s v="2026"/>
    <s v="24"/>
    <x v="9"/>
    <x v="5"/>
    <x v="2"/>
    <s v="Brown"/>
    <x v="1"/>
    <s v="Germany"/>
    <n v="7"/>
    <x v="1"/>
    <s v="$105.00"/>
    <s v="$58.00"/>
    <n v="735"/>
    <n v="406"/>
    <n v="329"/>
    <n v="0.44761904761904764"/>
  </r>
  <r>
    <d v="2026-06-05T00:00:00"/>
    <s v="6178"/>
    <s v="78"/>
    <x v="4"/>
    <x v="5"/>
    <x v="0"/>
    <s v="Green"/>
    <x v="1"/>
    <s v="Uganda"/>
    <n v="13"/>
    <x v="2"/>
    <s v="$105.00"/>
    <s v="$58.00"/>
    <n v="1365"/>
    <n v="754"/>
    <n v="611"/>
    <n v="0.44761904761904764"/>
  </r>
  <r>
    <d v="2026-05-02T00:00:00"/>
    <s v="6144"/>
    <s v="44"/>
    <x v="2"/>
    <x v="1"/>
    <x v="0"/>
    <s v="Blue"/>
    <x v="3"/>
    <s v="Ghana"/>
    <n v="8"/>
    <x v="1"/>
    <s v="$54.00"/>
    <s v="$28.00"/>
    <n v="432"/>
    <n v="224"/>
    <n v="208"/>
    <n v="0.48148148148148145"/>
  </r>
  <r>
    <d v="2026-03-03T00:00:00"/>
    <s v="6084"/>
    <s v="84"/>
    <x v="4"/>
    <x v="2"/>
    <x v="2"/>
    <s v="Brown"/>
    <x v="2"/>
    <s v="Philippines"/>
    <n v="11"/>
    <x v="3"/>
    <s v="$32.00"/>
    <s v="$14.00"/>
    <n v="352"/>
    <n v="154"/>
    <n v="198"/>
    <n v="0.5625"/>
  </r>
  <r>
    <s v="04/21/2026"/>
    <s v="2026"/>
    <s v="21"/>
    <x v="3"/>
    <x v="6"/>
    <x v="0"/>
    <s v="Green"/>
    <x v="1"/>
    <s v="Australia"/>
    <n v="11"/>
    <x v="1"/>
    <s v="$112.00"/>
    <s v="$64.00"/>
    <n v="1232"/>
    <n v="704"/>
    <n v="528"/>
    <n v="0.42857142857142855"/>
  </r>
  <r>
    <s v="07/16/2026"/>
    <s v="2026"/>
    <s v="16"/>
    <x v="8"/>
    <x v="7"/>
    <x v="0"/>
    <s v="Black"/>
    <x v="2"/>
    <s v="Kenya"/>
    <n v="15"/>
    <x v="1"/>
    <s v="$119.00"/>
    <s v="$67.00"/>
    <n v="1785"/>
    <n v="1005"/>
    <n v="780"/>
    <n v="0.43697478991596639"/>
  </r>
  <r>
    <d v="2026-09-03T00:00:00"/>
    <s v="6268"/>
    <s v="68"/>
    <x v="4"/>
    <x v="4"/>
    <x v="2"/>
    <s v="Brown"/>
    <x v="3"/>
    <s v="Zimbabwe"/>
    <n v="10"/>
    <x v="0"/>
    <s v="$128.00"/>
    <s v="$72.00"/>
    <n v="1280"/>
    <n v="720"/>
    <n v="560"/>
    <n v="0.4375"/>
  </r>
  <r>
    <d v="2026-05-04T00:00:00"/>
    <s v="6146"/>
    <s v="46"/>
    <x v="2"/>
    <x v="3"/>
    <x v="1"/>
    <s v="Brown"/>
    <x v="3"/>
    <s v="Cyprus"/>
    <n v="4"/>
    <x v="0"/>
    <s v="$76.00"/>
    <s v="$39.00"/>
    <n v="304"/>
    <n v="156"/>
    <n v="148"/>
    <n v="0.48684210526315791"/>
  </r>
  <r>
    <s v="03/16/2026"/>
    <s v="2026"/>
    <s v="16"/>
    <x v="6"/>
    <x v="3"/>
    <x v="2"/>
    <s v="Green"/>
    <x v="4"/>
    <s v="India"/>
    <n v="7"/>
    <x v="3"/>
    <s v="$76.00"/>
    <s v="$39.00"/>
    <n v="532"/>
    <n v="273"/>
    <n v="259"/>
    <n v="0.48684210526315791"/>
  </r>
  <r>
    <s v="01/19/2026"/>
    <s v="2026"/>
    <s v="19"/>
    <x v="5"/>
    <x v="2"/>
    <x v="1"/>
    <s v="Blue"/>
    <x v="4"/>
    <s v="Albania"/>
    <n v="7"/>
    <x v="2"/>
    <s v="$32.00"/>
    <s v="$14.00"/>
    <n v="224"/>
    <n v="98"/>
    <n v="126"/>
    <n v="0.5625"/>
  </r>
  <r>
    <s v="06/14/2026"/>
    <s v="2026"/>
    <s v="14"/>
    <x v="1"/>
    <x v="3"/>
    <x v="0"/>
    <s v="Green"/>
    <x v="3"/>
    <s v="Nigeria"/>
    <n v="13"/>
    <x v="3"/>
    <s v="$76.00"/>
    <s v="$39.00"/>
    <n v="988"/>
    <n v="507"/>
    <n v="481"/>
    <n v="0.48684210526315791"/>
  </r>
  <r>
    <d v="2026-02-05T00:00:00"/>
    <s v="6058"/>
    <s v="58"/>
    <x v="2"/>
    <x v="1"/>
    <x v="1"/>
    <s v="Green"/>
    <x v="2"/>
    <s v="Albania"/>
    <n v="12"/>
    <x v="0"/>
    <s v="$54.00"/>
    <s v="$28.00"/>
    <n v="648"/>
    <n v="336"/>
    <n v="312"/>
    <n v="0.48148148148148145"/>
  </r>
  <r>
    <d v="2026-04-02T00:00:00"/>
    <s v="6114"/>
    <s v="14"/>
    <x v="7"/>
    <x v="3"/>
    <x v="2"/>
    <s v="Red"/>
    <x v="2"/>
    <s v="Uganda"/>
    <n v="14"/>
    <x v="2"/>
    <s v="$76.00"/>
    <s v="$39.00"/>
    <n v="1064"/>
    <n v="546"/>
    <n v="518"/>
    <n v="0.48684210526315791"/>
  </r>
  <r>
    <s v="02/14/2026"/>
    <s v="2026"/>
    <s v="14"/>
    <x v="9"/>
    <x v="5"/>
    <x v="0"/>
    <s v="Brown"/>
    <x v="1"/>
    <s v="Albania"/>
    <n v="8"/>
    <x v="2"/>
    <s v="$105.00"/>
    <s v="$58.00"/>
    <n v="840"/>
    <n v="464"/>
    <n v="376"/>
    <n v="0.44761904761904764"/>
  </r>
  <r>
    <s v="03/18/2026"/>
    <s v="2026"/>
    <s v="18"/>
    <x v="6"/>
    <x v="3"/>
    <x v="0"/>
    <s v="Green"/>
    <x v="1"/>
    <s v="Cyprus"/>
    <n v="3"/>
    <x v="0"/>
    <s v="$76.00"/>
    <s v="$39.00"/>
    <n v="228"/>
    <n v="117"/>
    <n v="111"/>
    <n v="0.48684210526315791"/>
  </r>
  <r>
    <d v="2026-09-03T00:00:00"/>
    <s v="6268"/>
    <s v="68"/>
    <x v="4"/>
    <x v="2"/>
    <x v="1"/>
    <s v="Black"/>
    <x v="4"/>
    <s v="Ghana"/>
    <n v="8"/>
    <x v="1"/>
    <s v="$32.00"/>
    <s v="$14.00"/>
    <n v="256"/>
    <n v="112"/>
    <n v="144"/>
    <n v="0.5625"/>
  </r>
  <r>
    <s v="03/30/2026"/>
    <s v="2026"/>
    <s v="30"/>
    <x v="6"/>
    <x v="7"/>
    <x v="1"/>
    <s v="Green"/>
    <x v="3"/>
    <s v="Ghana"/>
    <n v="14"/>
    <x v="0"/>
    <s v="$119.00"/>
    <s v="$67.00"/>
    <n v="1666"/>
    <n v="938"/>
    <n v="728"/>
    <n v="0.43697478991596639"/>
  </r>
  <r>
    <d v="2026-01-07T00:00:00"/>
    <s v="6029"/>
    <s v="29"/>
    <x v="7"/>
    <x v="6"/>
    <x v="0"/>
    <s v="Green"/>
    <x v="4"/>
    <s v="Nigeria"/>
    <n v="7"/>
    <x v="3"/>
    <s v="$112.00"/>
    <s v="$64.00"/>
    <n v="784"/>
    <n v="448"/>
    <n v="336"/>
    <n v="0.42857142857142855"/>
  </r>
  <r>
    <d v="2026-12-08T00:00:00"/>
    <s v="6364"/>
    <s v="64"/>
    <x v="4"/>
    <x v="1"/>
    <x v="1"/>
    <s v="Brown"/>
    <x v="1"/>
    <s v="UK"/>
    <n v="5"/>
    <x v="2"/>
    <s v="$54.00"/>
    <s v="$28.00"/>
    <n v="270"/>
    <n v="140"/>
    <n v="130"/>
    <n v="0.48148148148148145"/>
  </r>
  <r>
    <d v="2026-11-01T00:00:00"/>
    <s v="6327"/>
    <s v="27"/>
    <x v="7"/>
    <x v="5"/>
    <x v="0"/>
    <s v="Green"/>
    <x v="4"/>
    <s v="Nigeria"/>
    <n v="14"/>
    <x v="2"/>
    <s v="$105.00"/>
    <s v="$58.00"/>
    <n v="1470"/>
    <n v="812"/>
    <n v="658"/>
    <n v="0.44761904761904764"/>
  </r>
  <r>
    <s v="06/30/2026"/>
    <s v="2026"/>
    <s v="30"/>
    <x v="1"/>
    <x v="7"/>
    <x v="3"/>
    <s v="Red"/>
    <x v="1"/>
    <s v="USA"/>
    <n v="6"/>
    <x v="2"/>
    <s v="$119.00"/>
    <s v="$67.00"/>
    <n v="714"/>
    <n v="402"/>
    <n v="312"/>
    <n v="0.43697478991596639"/>
  </r>
  <r>
    <s v="01/22/2026"/>
    <s v="2026"/>
    <s v="22"/>
    <x v="5"/>
    <x v="7"/>
    <x v="2"/>
    <s v="Red"/>
    <x v="0"/>
    <s v="Nigeria"/>
    <n v="7"/>
    <x v="1"/>
    <s v="$119.00"/>
    <s v="$67.00"/>
    <n v="833"/>
    <n v="469"/>
    <n v="364"/>
    <n v="0.43697478991596639"/>
  </r>
  <r>
    <s v="07/20/2026"/>
    <s v="2026"/>
    <s v="20"/>
    <x v="8"/>
    <x v="1"/>
    <x v="0"/>
    <s v="Green"/>
    <x v="1"/>
    <s v="Canada"/>
    <n v="9"/>
    <x v="0"/>
    <s v="$54.00"/>
    <s v="$28.00"/>
    <n v="486"/>
    <n v="252"/>
    <n v="234"/>
    <n v="0.48148148148148145"/>
  </r>
  <r>
    <d v="2026-06-04T00:00:00"/>
    <s v="6177"/>
    <s v="77"/>
    <x v="4"/>
    <x v="0"/>
    <x v="0"/>
    <s v="Blue"/>
    <x v="4"/>
    <s v="Ghana"/>
    <n v="10"/>
    <x v="1"/>
    <s v="$89.00"/>
    <s v="$47.00"/>
    <n v="890"/>
    <n v="470"/>
    <n v="420"/>
    <n v="0.47191011235955055"/>
  </r>
  <r>
    <d v="2026-12-01T00:00:00"/>
    <s v="6357"/>
    <s v="57"/>
    <x v="2"/>
    <x v="6"/>
    <x v="2"/>
    <s v="Red"/>
    <x v="0"/>
    <s v="Zimbabwe"/>
    <n v="6"/>
    <x v="1"/>
    <s v="$112.00"/>
    <s v="$64.00"/>
    <n v="672"/>
    <n v="384"/>
    <n v="288"/>
    <n v="0.42857142857142855"/>
  </r>
  <r>
    <s v="06/24/2026"/>
    <s v="2026"/>
    <s v="24"/>
    <x v="1"/>
    <x v="5"/>
    <x v="3"/>
    <s v="Brown"/>
    <x v="1"/>
    <s v="UK"/>
    <n v="12"/>
    <x v="1"/>
    <s v="$105.00"/>
    <s v="$58.00"/>
    <n v="1260"/>
    <n v="696"/>
    <n v="564"/>
    <n v="0.44761904761904764"/>
  </r>
  <r>
    <s v="03/20/2026"/>
    <s v="2026"/>
    <s v="20"/>
    <x v="6"/>
    <x v="3"/>
    <x v="2"/>
    <s v="Brown"/>
    <x v="3"/>
    <s v="India"/>
    <n v="4"/>
    <x v="0"/>
    <s v="$76.00"/>
    <s v="$39.00"/>
    <n v="304"/>
    <n v="156"/>
    <n v="148"/>
    <n v="0.48684210526315791"/>
  </r>
  <r>
    <s v="07/13/2026"/>
    <s v="2026"/>
    <s v="13"/>
    <x v="8"/>
    <x v="0"/>
    <x v="0"/>
    <s v="Black"/>
    <x v="3"/>
    <s v="Ghana"/>
    <n v="8"/>
    <x v="3"/>
    <s v="$89.00"/>
    <s v="$47.00"/>
    <n v="712"/>
    <n v="376"/>
    <n v="336"/>
    <n v="0.47191011235955055"/>
  </r>
  <r>
    <s v="01/18/2026"/>
    <s v="2026"/>
    <s v="18"/>
    <x v="5"/>
    <x v="2"/>
    <x v="0"/>
    <s v="Blue"/>
    <x v="1"/>
    <s v="Uganda"/>
    <n v="8"/>
    <x v="2"/>
    <s v="$32.00"/>
    <s v="$14.00"/>
    <n v="256"/>
    <n v="112"/>
    <n v="144"/>
    <n v="0.5625"/>
  </r>
  <r>
    <s v="06/14/2026"/>
    <s v="2026"/>
    <s v="14"/>
    <x v="1"/>
    <x v="7"/>
    <x v="1"/>
    <s v="Brown"/>
    <x v="3"/>
    <s v="UK"/>
    <n v="6"/>
    <x v="1"/>
    <s v="$119.00"/>
    <s v="$67.00"/>
    <n v="714"/>
    <n v="402"/>
    <n v="312"/>
    <n v="0.43697478991596639"/>
  </r>
  <r>
    <d v="2026-12-06T00:00:00"/>
    <s v="6362"/>
    <s v="62"/>
    <x v="4"/>
    <x v="0"/>
    <x v="3"/>
    <s v="Black"/>
    <x v="2"/>
    <s v="Uganda"/>
    <n v="9"/>
    <x v="1"/>
    <s v="$89.00"/>
    <s v="$47.00"/>
    <n v="801"/>
    <n v="423"/>
    <n v="378"/>
    <n v="0.47191011235955055"/>
  </r>
  <r>
    <d v="2026-06-08T00:00:00"/>
    <s v="6181"/>
    <s v="81"/>
    <x v="4"/>
    <x v="3"/>
    <x v="2"/>
    <s v="Brown"/>
    <x v="3"/>
    <s v="UK"/>
    <n v="2"/>
    <x v="3"/>
    <s v="$76.00"/>
    <s v="$39.00"/>
    <n v="152"/>
    <n v="78"/>
    <n v="74"/>
    <n v="0.48684210526315791"/>
  </r>
  <r>
    <s v="01/18/2026"/>
    <s v="2026"/>
    <s v="18"/>
    <x v="5"/>
    <x v="6"/>
    <x v="0"/>
    <s v="Brown"/>
    <x v="3"/>
    <s v="Australia"/>
    <n v="4"/>
    <x v="2"/>
    <s v="$112.00"/>
    <s v="$64.00"/>
    <n v="448"/>
    <n v="256"/>
    <n v="192"/>
    <n v="0.42857142857142855"/>
  </r>
  <r>
    <d v="2026-02-05T00:00:00"/>
    <s v="6058"/>
    <s v="58"/>
    <x v="2"/>
    <x v="0"/>
    <x v="0"/>
    <s v="Red"/>
    <x v="3"/>
    <s v="UK"/>
    <n v="15"/>
    <x v="2"/>
    <s v="$89.00"/>
    <s v="$47.00"/>
    <n v="1335"/>
    <n v="705"/>
    <n v="630"/>
    <n v="0.47191011235955055"/>
  </r>
  <r>
    <s v="04/18/2026"/>
    <s v="2026"/>
    <s v="18"/>
    <x v="3"/>
    <x v="3"/>
    <x v="1"/>
    <s v="Red"/>
    <x v="3"/>
    <s v="USA"/>
    <n v="15"/>
    <x v="0"/>
    <s v="$76.00"/>
    <s v="$39.00"/>
    <n v="1140"/>
    <n v="585"/>
    <n v="555"/>
    <n v="0.48684210526315791"/>
  </r>
  <r>
    <s v="02/21/2026"/>
    <s v="2026"/>
    <s v="21"/>
    <x v="9"/>
    <x v="2"/>
    <x v="0"/>
    <s v="Green"/>
    <x v="1"/>
    <s v="Philippines"/>
    <n v="8"/>
    <x v="1"/>
    <s v="$32.00"/>
    <s v="$14.00"/>
    <n v="256"/>
    <n v="112"/>
    <n v="144"/>
    <n v="0.5625"/>
  </r>
  <r>
    <s v="06/20/2026"/>
    <s v="2026"/>
    <s v="20"/>
    <x v="1"/>
    <x v="0"/>
    <x v="2"/>
    <s v="Brown"/>
    <x v="0"/>
    <s v="UK"/>
    <n v="7"/>
    <x v="1"/>
    <s v="$89.00"/>
    <s v="$47.00"/>
    <n v="623"/>
    <n v="329"/>
    <n v="294"/>
    <n v="0.47191011235955055"/>
  </r>
  <r>
    <s v="04/25/2026"/>
    <s v="2026"/>
    <s v="25"/>
    <x v="3"/>
    <x v="7"/>
    <x v="2"/>
    <s v="Red"/>
    <x v="1"/>
    <s v="Cyprus"/>
    <n v="8"/>
    <x v="0"/>
    <s v="$119.00"/>
    <s v="$67.00"/>
    <n v="952"/>
    <n v="536"/>
    <n v="416"/>
    <n v="0.43697478991596639"/>
  </r>
  <r>
    <s v="05/30/2026"/>
    <s v="2026"/>
    <s v="30"/>
    <x v="0"/>
    <x v="0"/>
    <x v="0"/>
    <s v="Red"/>
    <x v="4"/>
    <s v="Ghana"/>
    <n v="13"/>
    <x v="2"/>
    <s v="$89.00"/>
    <s v="$47.00"/>
    <n v="1157"/>
    <n v="611"/>
    <n v="546"/>
    <n v="0.47191011235955055"/>
  </r>
  <r>
    <s v="02/28/2026"/>
    <s v="2026"/>
    <s v="28"/>
    <x v="9"/>
    <x v="5"/>
    <x v="0"/>
    <s v="Green"/>
    <x v="0"/>
    <s v="UK"/>
    <n v="14"/>
    <x v="0"/>
    <s v="$105.00"/>
    <s v="$58.00"/>
    <n v="1470"/>
    <n v="812"/>
    <n v="658"/>
    <n v="0.44761904761904764"/>
  </r>
  <r>
    <d v="2026-12-05T00:00:00"/>
    <s v="6361"/>
    <s v="61"/>
    <x v="2"/>
    <x v="0"/>
    <x v="0"/>
    <s v="Green"/>
    <x v="1"/>
    <s v="Kenya"/>
    <n v="12"/>
    <x v="2"/>
    <s v="$89.00"/>
    <s v="$47.00"/>
    <n v="1068"/>
    <n v="564"/>
    <n v="504"/>
    <n v="0.47191011235955055"/>
  </r>
  <r>
    <s v="02/22/2026"/>
    <s v="2026"/>
    <s v="22"/>
    <x v="9"/>
    <x v="4"/>
    <x v="3"/>
    <s v="Green"/>
    <x v="1"/>
    <s v="India"/>
    <n v="10"/>
    <x v="1"/>
    <s v="$128.00"/>
    <s v="$72.00"/>
    <n v="1280"/>
    <n v="720"/>
    <n v="560"/>
    <n v="0.4375"/>
  </r>
  <r>
    <d v="2026-04-05T00:00:00"/>
    <s v="6117"/>
    <s v="17"/>
    <x v="7"/>
    <x v="6"/>
    <x v="0"/>
    <s v="Blue"/>
    <x v="1"/>
    <s v="Philippines"/>
    <n v="6"/>
    <x v="1"/>
    <s v="$112.00"/>
    <s v="$64.00"/>
    <n v="672"/>
    <n v="384"/>
    <n v="288"/>
    <n v="0.42857142857142855"/>
  </r>
  <r>
    <s v="06/24/2026"/>
    <s v="2026"/>
    <s v="24"/>
    <x v="1"/>
    <x v="0"/>
    <x v="3"/>
    <s v="Brown"/>
    <x v="3"/>
    <s v="Uganda"/>
    <n v="13"/>
    <x v="1"/>
    <s v="$89.00"/>
    <s v="$47.00"/>
    <n v="1157"/>
    <n v="611"/>
    <n v="546"/>
    <n v="0.47191011235955055"/>
  </r>
  <r>
    <s v="03/20/2026"/>
    <s v="2026"/>
    <s v="20"/>
    <x v="6"/>
    <x v="2"/>
    <x v="0"/>
    <s v="Green"/>
    <x v="1"/>
    <s v="Nigeria"/>
    <n v="4"/>
    <x v="3"/>
    <s v="$32.00"/>
    <s v="$14.00"/>
    <n v="128"/>
    <n v="56"/>
    <n v="72"/>
    <n v="0.5625"/>
  </r>
  <r>
    <s v="05/20/2026"/>
    <s v="2026"/>
    <s v="20"/>
    <x v="0"/>
    <x v="3"/>
    <x v="0"/>
    <s v="Black"/>
    <x v="1"/>
    <s v="UK"/>
    <n v="12"/>
    <x v="0"/>
    <s v="$76.00"/>
    <s v="$39.00"/>
    <n v="912"/>
    <n v="468"/>
    <n v="444"/>
    <n v="0.48684210526315791"/>
  </r>
  <r>
    <s v="08/14/2026"/>
    <s v="2026"/>
    <s v="14"/>
    <x v="10"/>
    <x v="0"/>
    <x v="0"/>
    <s v="Green"/>
    <x v="3"/>
    <s v="USA"/>
    <n v="5"/>
    <x v="3"/>
    <s v="$89.00"/>
    <s v="$47.00"/>
    <n v="445"/>
    <n v="235"/>
    <n v="210"/>
    <n v="0.47191011235955055"/>
  </r>
  <r>
    <s v="01/27/2026"/>
    <s v="2026"/>
    <s v="27"/>
    <x v="5"/>
    <x v="1"/>
    <x v="1"/>
    <s v="Red"/>
    <x v="0"/>
    <s v="Cyprus"/>
    <n v="7"/>
    <x v="0"/>
    <s v="$54.00"/>
    <s v="$28.00"/>
    <n v="378"/>
    <n v="196"/>
    <n v="182"/>
    <n v="0.48148148148148145"/>
  </r>
  <r>
    <s v="06/17/2026"/>
    <s v="2026"/>
    <s v="17"/>
    <x v="1"/>
    <x v="1"/>
    <x v="0"/>
    <s v="Brown"/>
    <x v="2"/>
    <s v="UK"/>
    <n v="15"/>
    <x v="0"/>
    <s v="$54.00"/>
    <s v="$28.00"/>
    <n v="810"/>
    <n v="420"/>
    <n v="390"/>
    <n v="0.48148148148148145"/>
  </r>
  <r>
    <d v="2026-02-06T00:00:00"/>
    <s v="6059"/>
    <s v="59"/>
    <x v="2"/>
    <x v="5"/>
    <x v="0"/>
    <s v="Red"/>
    <x v="1"/>
    <s v="India"/>
    <n v="15"/>
    <x v="0"/>
    <s v="$105.00"/>
    <s v="$58.00"/>
    <n v="1575"/>
    <n v="870"/>
    <n v="705"/>
    <n v="0.44761904761904764"/>
  </r>
  <r>
    <s v="01/28/2026"/>
    <s v="2026"/>
    <s v="28"/>
    <x v="5"/>
    <x v="2"/>
    <x v="0"/>
    <s v="Red"/>
    <x v="1"/>
    <s v="Philippines"/>
    <n v="5"/>
    <x v="0"/>
    <s v="$32.00"/>
    <s v="$14.00"/>
    <n v="160"/>
    <n v="70"/>
    <n v="90"/>
    <n v="0.5625"/>
  </r>
  <r>
    <d v="2026-02-07T00:00:00"/>
    <s v="6060"/>
    <s v="60"/>
    <x v="2"/>
    <x v="7"/>
    <x v="2"/>
    <s v="Blue"/>
    <x v="4"/>
    <s v="Albania"/>
    <n v="3"/>
    <x v="2"/>
    <s v="$119.00"/>
    <s v="$67.00"/>
    <n v="357"/>
    <n v="201"/>
    <n v="156"/>
    <n v="0.43697478991596639"/>
  </r>
  <r>
    <d v="2026-09-04T00:00:00"/>
    <s v="6269"/>
    <s v="69"/>
    <x v="4"/>
    <x v="5"/>
    <x v="0"/>
    <s v="Blue"/>
    <x v="0"/>
    <s v="Uganda"/>
    <n v="14"/>
    <x v="2"/>
    <s v="$105.00"/>
    <s v="$58.00"/>
    <n v="1470"/>
    <n v="812"/>
    <n v="658"/>
    <n v="0.44761904761904764"/>
  </r>
  <r>
    <d v="2026-03-02T00:00:00"/>
    <s v="6083"/>
    <s v="83"/>
    <x v="4"/>
    <x v="6"/>
    <x v="0"/>
    <s v="Black"/>
    <x v="1"/>
    <s v="Germany"/>
    <n v="7"/>
    <x v="2"/>
    <s v="$112.00"/>
    <s v="$64.00"/>
    <n v="784"/>
    <n v="448"/>
    <n v="336"/>
    <n v="0.42857142857142855"/>
  </r>
  <r>
    <s v="07/19/2026"/>
    <s v="2026"/>
    <s v="19"/>
    <x v="8"/>
    <x v="2"/>
    <x v="1"/>
    <s v="Brown"/>
    <x v="3"/>
    <s v="Canada"/>
    <n v="8"/>
    <x v="2"/>
    <s v="$32.00"/>
    <s v="$14.00"/>
    <n v="256"/>
    <n v="112"/>
    <n v="144"/>
    <n v="0.5625"/>
  </r>
  <r>
    <d v="2026-07-07T00:00:00"/>
    <s v="6210"/>
    <s v="10"/>
    <x v="7"/>
    <x v="3"/>
    <x v="0"/>
    <s v="Green"/>
    <x v="3"/>
    <s v="Canada"/>
    <n v="3"/>
    <x v="1"/>
    <s v="$76.00"/>
    <s v="$39.00"/>
    <n v="228"/>
    <n v="117"/>
    <n v="111"/>
    <n v="0.48684210526315791"/>
  </r>
  <r>
    <d v="2026-12-02T00:00:00"/>
    <s v="6358"/>
    <s v="58"/>
    <x v="2"/>
    <x v="5"/>
    <x v="0"/>
    <s v="Brown"/>
    <x v="3"/>
    <s v="Kenya"/>
    <n v="10"/>
    <x v="1"/>
    <s v="$105.00"/>
    <s v="$58.00"/>
    <n v="1050"/>
    <n v="580"/>
    <n v="470"/>
    <n v="0.44761904761904764"/>
  </r>
  <r>
    <d v="2026-03-01T00:00:00"/>
    <s v="6082"/>
    <s v="82"/>
    <x v="4"/>
    <x v="2"/>
    <x v="0"/>
    <s v="Red"/>
    <x v="1"/>
    <s v="Philippines"/>
    <n v="15"/>
    <x v="3"/>
    <s v="$32.00"/>
    <s v="$14.00"/>
    <n v="480"/>
    <n v="210"/>
    <n v="270"/>
    <n v="0.5625"/>
  </r>
  <r>
    <s v="05/21/2026"/>
    <s v="2026"/>
    <s v="21"/>
    <x v="0"/>
    <x v="1"/>
    <x v="0"/>
    <s v="Green"/>
    <x v="2"/>
    <s v="Kenya"/>
    <n v="8"/>
    <x v="2"/>
    <s v="$54.00"/>
    <s v="$28.00"/>
    <n v="432"/>
    <n v="224"/>
    <n v="208"/>
    <n v="0.48148148148148145"/>
  </r>
  <r>
    <s v="07/30/2026"/>
    <s v="2026"/>
    <s v="30"/>
    <x v="8"/>
    <x v="3"/>
    <x v="2"/>
    <s v="Green"/>
    <x v="4"/>
    <s v="Cyprus"/>
    <n v="9"/>
    <x v="3"/>
    <s v="$76.00"/>
    <s v="$39.00"/>
    <n v="684"/>
    <n v="351"/>
    <n v="333"/>
    <n v="0.48684210526315791"/>
  </r>
  <r>
    <s v="07/20/2026"/>
    <s v="2026"/>
    <s v="20"/>
    <x v="8"/>
    <x v="7"/>
    <x v="0"/>
    <s v="Black"/>
    <x v="3"/>
    <s v="Zimbabwe"/>
    <n v="10"/>
    <x v="0"/>
    <s v="$119.00"/>
    <s v="$67.00"/>
    <n v="1190"/>
    <n v="670"/>
    <n v="520"/>
    <n v="0.43697478991596639"/>
  </r>
  <r>
    <d v="2026-09-04T00:00:00"/>
    <s v="6269"/>
    <s v="69"/>
    <x v="4"/>
    <x v="6"/>
    <x v="0"/>
    <s v="Red"/>
    <x v="0"/>
    <s v="Australia"/>
    <n v="6"/>
    <x v="1"/>
    <s v="$112.00"/>
    <s v="$64.00"/>
    <n v="672"/>
    <n v="384"/>
    <n v="288"/>
    <n v="0.42857142857142855"/>
  </r>
  <r>
    <s v="05/31/2026"/>
    <s v="2026"/>
    <s v="31"/>
    <x v="0"/>
    <x v="4"/>
    <x v="0"/>
    <s v="Blue"/>
    <x v="3"/>
    <s v="Philippines"/>
    <n v="7"/>
    <x v="1"/>
    <s v="$128.00"/>
    <s v="$72.00"/>
    <n v="896"/>
    <n v="504"/>
    <n v="392"/>
    <n v="0.4375"/>
  </r>
  <r>
    <s v="07/16/2026"/>
    <s v="2026"/>
    <s v="16"/>
    <x v="8"/>
    <x v="3"/>
    <x v="3"/>
    <s v="Red"/>
    <x v="4"/>
    <s v="Ghana"/>
    <n v="15"/>
    <x v="2"/>
    <s v="$76.00"/>
    <s v="$39.00"/>
    <n v="1140"/>
    <n v="585"/>
    <n v="555"/>
    <n v="0.48684210526315791"/>
  </r>
  <r>
    <s v="06/30/2026"/>
    <s v="2026"/>
    <s v="30"/>
    <x v="1"/>
    <x v="0"/>
    <x v="0"/>
    <s v="Blue"/>
    <x v="3"/>
    <s v="Australia"/>
    <n v="11"/>
    <x v="0"/>
    <s v="$89.00"/>
    <s v="$47.00"/>
    <n v="979"/>
    <n v="517"/>
    <n v="462"/>
    <n v="0.47191011235955055"/>
  </r>
  <r>
    <s v="05/14/2026"/>
    <s v="2026"/>
    <s v="14"/>
    <x v="0"/>
    <x v="4"/>
    <x v="2"/>
    <s v="Red"/>
    <x v="0"/>
    <s v="Nigeria"/>
    <n v="8"/>
    <x v="1"/>
    <s v="$128.00"/>
    <s v="$72.00"/>
    <n v="1024"/>
    <n v="576"/>
    <n v="448"/>
    <n v="0.4375"/>
  </r>
  <r>
    <d v="2026-10-08T00:00:00"/>
    <s v="6303"/>
    <s v="03"/>
    <x v="7"/>
    <x v="0"/>
    <x v="0"/>
    <s v="Green"/>
    <x v="3"/>
    <s v="Germany"/>
    <n v="8"/>
    <x v="0"/>
    <s v="$89.00"/>
    <s v="$47.00"/>
    <n v="712"/>
    <n v="376"/>
    <n v="336"/>
    <n v="0.47191011235955055"/>
  </r>
  <r>
    <s v="01/28/2026"/>
    <s v="2026"/>
    <s v="28"/>
    <x v="5"/>
    <x v="4"/>
    <x v="1"/>
    <s v="Brown"/>
    <x v="0"/>
    <s v="Australia"/>
    <n v="2"/>
    <x v="3"/>
    <s v="$128.00"/>
    <s v="$72.00"/>
    <n v="256"/>
    <n v="144"/>
    <n v="112"/>
    <n v="0.4375"/>
  </r>
  <r>
    <s v="02/16/2026"/>
    <s v="2026"/>
    <s v="16"/>
    <x v="9"/>
    <x v="5"/>
    <x v="0"/>
    <s v="Red"/>
    <x v="1"/>
    <s v="Ghana"/>
    <n v="12"/>
    <x v="1"/>
    <s v="$105.00"/>
    <s v="$58.00"/>
    <n v="1260"/>
    <n v="696"/>
    <n v="564"/>
    <n v="0.44761904761904764"/>
  </r>
  <r>
    <s v="07/26/2026"/>
    <s v="2026"/>
    <s v="26"/>
    <x v="8"/>
    <x v="4"/>
    <x v="0"/>
    <s v="Blue"/>
    <x v="3"/>
    <s v="Kenya"/>
    <n v="13"/>
    <x v="2"/>
    <s v="$128.00"/>
    <s v="$72.00"/>
    <n v="1664"/>
    <n v="936"/>
    <n v="728"/>
    <n v="0.4375"/>
  </r>
  <r>
    <s v="03/28/2026"/>
    <s v="2026"/>
    <s v="28"/>
    <x v="6"/>
    <x v="1"/>
    <x v="2"/>
    <s v="Black"/>
    <x v="2"/>
    <s v="Kenya"/>
    <n v="3"/>
    <x v="0"/>
    <s v="$54.00"/>
    <s v="$28.00"/>
    <n v="162"/>
    <n v="84"/>
    <n v="78"/>
    <n v="0.48148148148148145"/>
  </r>
  <r>
    <s v="04/18/2026"/>
    <s v="2026"/>
    <s v="18"/>
    <x v="3"/>
    <x v="4"/>
    <x v="0"/>
    <s v="Black"/>
    <x v="3"/>
    <s v="Cyprus"/>
    <n v="11"/>
    <x v="1"/>
    <s v="$128.00"/>
    <s v="$72.00"/>
    <n v="1408"/>
    <n v="792"/>
    <n v="616"/>
    <n v="0.4375"/>
  </r>
  <r>
    <s v="06/21/2026"/>
    <s v="2026"/>
    <s v="21"/>
    <x v="1"/>
    <x v="6"/>
    <x v="0"/>
    <s v="Red"/>
    <x v="3"/>
    <s v="UK"/>
    <n v="3"/>
    <x v="0"/>
    <s v="$112.00"/>
    <s v="$64.00"/>
    <n v="336"/>
    <n v="192"/>
    <n v="144"/>
    <n v="0.42857142857142855"/>
  </r>
  <r>
    <d v="2026-07-02T00:00:00"/>
    <s v="6205"/>
    <s v="05"/>
    <x v="7"/>
    <x v="5"/>
    <x v="3"/>
    <s v="Green"/>
    <x v="3"/>
    <s v="UK"/>
    <n v="14"/>
    <x v="1"/>
    <s v="$105.00"/>
    <s v="$58.00"/>
    <n v="1470"/>
    <n v="812"/>
    <n v="658"/>
    <n v="0.44761904761904764"/>
  </r>
  <r>
    <d v="2026-12-02T00:00:00"/>
    <s v="6358"/>
    <s v="58"/>
    <x v="2"/>
    <x v="7"/>
    <x v="2"/>
    <s v="Brown"/>
    <x v="1"/>
    <s v="UK"/>
    <n v="1"/>
    <x v="2"/>
    <s v="$119.00"/>
    <s v="$67.00"/>
    <n v="119"/>
    <n v="67"/>
    <n v="52"/>
    <n v="0.43697478991596639"/>
  </r>
  <r>
    <s v="05/24/2026"/>
    <s v="2026"/>
    <s v="24"/>
    <x v="0"/>
    <x v="6"/>
    <x v="0"/>
    <s v="Green"/>
    <x v="4"/>
    <s v="Kenya"/>
    <n v="10"/>
    <x v="0"/>
    <s v="$112.00"/>
    <s v="$64.00"/>
    <n v="1120"/>
    <n v="640"/>
    <n v="480"/>
    <n v="0.42857142857142855"/>
  </r>
  <r>
    <d v="2026-07-07T00:00:00"/>
    <s v="6210"/>
    <s v="10"/>
    <x v="7"/>
    <x v="0"/>
    <x v="0"/>
    <s v="Green"/>
    <x v="0"/>
    <s v="Canada"/>
    <n v="7"/>
    <x v="0"/>
    <s v="$89.00"/>
    <s v="$47.00"/>
    <n v="623"/>
    <n v="329"/>
    <n v="294"/>
    <n v="0.47191011235955055"/>
  </r>
  <r>
    <s v="04/13/2026"/>
    <s v="2026"/>
    <s v="13"/>
    <x v="3"/>
    <x v="5"/>
    <x v="1"/>
    <s v="Brown"/>
    <x v="3"/>
    <s v="Philippines"/>
    <n v="6"/>
    <x v="3"/>
    <s v="$105.00"/>
    <s v="$58.00"/>
    <n v="630"/>
    <n v="348"/>
    <n v="282"/>
    <n v="0.44761904761904764"/>
  </r>
  <r>
    <s v="06/26/2026"/>
    <s v="2026"/>
    <s v="26"/>
    <x v="1"/>
    <x v="6"/>
    <x v="1"/>
    <s v="Brown"/>
    <x v="0"/>
    <s v="India"/>
    <n v="8"/>
    <x v="0"/>
    <s v="$112.00"/>
    <s v="$64.00"/>
    <n v="896"/>
    <n v="512"/>
    <n v="384"/>
    <n v="0.42857142857142855"/>
  </r>
  <r>
    <d v="2026-11-03T00:00:00"/>
    <s v="6329"/>
    <s v="29"/>
    <x v="7"/>
    <x v="3"/>
    <x v="0"/>
    <s v="Green"/>
    <x v="3"/>
    <s v="Canada"/>
    <n v="13"/>
    <x v="1"/>
    <s v="$76.00"/>
    <s v="$39.00"/>
    <n v="988"/>
    <n v="507"/>
    <n v="481"/>
    <n v="0.48684210526315791"/>
  </r>
  <r>
    <s v="06/21/2026"/>
    <s v="2026"/>
    <s v="21"/>
    <x v="1"/>
    <x v="4"/>
    <x v="0"/>
    <s v="Black"/>
    <x v="2"/>
    <s v="Nigeria"/>
    <n v="11"/>
    <x v="1"/>
    <s v="$128.00"/>
    <s v="$72.00"/>
    <n v="1408"/>
    <n v="792"/>
    <n v="616"/>
    <n v="0.4375"/>
  </r>
  <r>
    <d v="2026-06-06T00:00:00"/>
    <s v="6179"/>
    <s v="79"/>
    <x v="4"/>
    <x v="6"/>
    <x v="0"/>
    <s v="Brown"/>
    <x v="3"/>
    <s v="Ghana"/>
    <n v="8"/>
    <x v="3"/>
    <s v="$112.00"/>
    <s v="$64.00"/>
    <n v="896"/>
    <n v="512"/>
    <n v="384"/>
    <n v="0.42857142857142855"/>
  </r>
  <r>
    <d v="2026-02-01T00:00:00"/>
    <s v="6054"/>
    <s v="54"/>
    <x v="2"/>
    <x v="1"/>
    <x v="0"/>
    <s v="Black"/>
    <x v="4"/>
    <s v="Cyprus"/>
    <n v="13"/>
    <x v="3"/>
    <s v="$54.00"/>
    <s v="$28.00"/>
    <n v="702"/>
    <n v="364"/>
    <n v="338"/>
    <n v="0.48148148148148145"/>
  </r>
  <r>
    <d v="2026-02-01T00:00:00"/>
    <s v="6054"/>
    <s v="54"/>
    <x v="2"/>
    <x v="0"/>
    <x v="1"/>
    <s v="Blue"/>
    <x v="3"/>
    <s v="Nigeria"/>
    <n v="12"/>
    <x v="2"/>
    <s v="$89.00"/>
    <s v="$47.00"/>
    <n v="1068"/>
    <n v="564"/>
    <n v="504"/>
    <n v="0.47191011235955055"/>
  </r>
  <r>
    <s v="03/25/2026"/>
    <s v="2026"/>
    <s v="25"/>
    <x v="6"/>
    <x v="3"/>
    <x v="2"/>
    <s v="Green"/>
    <x v="1"/>
    <s v="India"/>
    <n v="1"/>
    <x v="1"/>
    <s v="$76.00"/>
    <s v="$39.00"/>
    <n v="76"/>
    <n v="39"/>
    <n v="37"/>
    <n v="0.48684210526315791"/>
  </r>
  <r>
    <s v="06/14/2026"/>
    <s v="2026"/>
    <s v="14"/>
    <x v="1"/>
    <x v="1"/>
    <x v="0"/>
    <s v="Red"/>
    <x v="1"/>
    <s v="UK"/>
    <n v="10"/>
    <x v="3"/>
    <s v="$54.00"/>
    <s v="$28.00"/>
    <n v="540"/>
    <n v="280"/>
    <n v="260"/>
    <n v="0.48148148148148145"/>
  </r>
  <r>
    <d v="2026-12-04T00:00:00"/>
    <s v="6360"/>
    <s v="60"/>
    <x v="2"/>
    <x v="0"/>
    <x v="2"/>
    <s v="Red"/>
    <x v="4"/>
    <s v="UK"/>
    <n v="15"/>
    <x v="2"/>
    <s v="$89.00"/>
    <s v="$47.00"/>
    <n v="1335"/>
    <n v="705"/>
    <n v="630"/>
    <n v="0.47191011235955055"/>
  </r>
  <r>
    <d v="2026-05-03T00:00:00"/>
    <s v="6145"/>
    <s v="45"/>
    <x v="2"/>
    <x v="7"/>
    <x v="0"/>
    <s v="Brown"/>
    <x v="1"/>
    <s v="Canada"/>
    <n v="3"/>
    <x v="3"/>
    <s v="$119.00"/>
    <s v="$67.00"/>
    <n v="357"/>
    <n v="201"/>
    <n v="156"/>
    <n v="0.43697478991596639"/>
  </r>
  <r>
    <d v="2026-06-01T00:00:00"/>
    <s v="6174"/>
    <s v="74"/>
    <x v="4"/>
    <x v="3"/>
    <x v="2"/>
    <s v="Blue"/>
    <x v="4"/>
    <s v="Nigeria"/>
    <n v="1"/>
    <x v="0"/>
    <s v="$76.00"/>
    <s v="$39.00"/>
    <n v="76"/>
    <n v="39"/>
    <n v="37"/>
    <n v="0.48684210526315791"/>
  </r>
  <r>
    <s v="07/15/2026"/>
    <s v="2026"/>
    <s v="15"/>
    <x v="8"/>
    <x v="1"/>
    <x v="2"/>
    <s v="Red"/>
    <x v="1"/>
    <s v="Ghana"/>
    <n v="9"/>
    <x v="2"/>
    <s v="$54.00"/>
    <s v="$28.00"/>
    <n v="486"/>
    <n v="252"/>
    <n v="234"/>
    <n v="0.48148148148148145"/>
  </r>
  <r>
    <d v="2026-05-05T00:00:00"/>
    <s v="6147"/>
    <s v="47"/>
    <x v="2"/>
    <x v="2"/>
    <x v="1"/>
    <s v="Black"/>
    <x v="3"/>
    <s v="Cyprus"/>
    <n v="13"/>
    <x v="0"/>
    <s v="$32.00"/>
    <s v="$14.00"/>
    <n v="416"/>
    <n v="182"/>
    <n v="234"/>
    <n v="0.5625"/>
  </r>
  <r>
    <s v="06/14/2026"/>
    <s v="2026"/>
    <s v="14"/>
    <x v="1"/>
    <x v="7"/>
    <x v="3"/>
    <s v="Black"/>
    <x v="1"/>
    <s v="Philippines"/>
    <n v="10"/>
    <x v="1"/>
    <s v="$119.00"/>
    <s v="$67.00"/>
    <n v="1190"/>
    <n v="670"/>
    <n v="520"/>
    <n v="0.43697478991596639"/>
  </r>
  <r>
    <d v="2026-06-06T00:00:00"/>
    <s v="6179"/>
    <s v="79"/>
    <x v="4"/>
    <x v="0"/>
    <x v="0"/>
    <s v="Green"/>
    <x v="0"/>
    <s v="Zimbabwe"/>
    <n v="10"/>
    <x v="0"/>
    <s v="$89.00"/>
    <s v="$47.00"/>
    <n v="890"/>
    <n v="470"/>
    <n v="420"/>
    <n v="0.47191011235955055"/>
  </r>
  <r>
    <s v="07/17/2026"/>
    <s v="2026"/>
    <s v="17"/>
    <x v="8"/>
    <x v="4"/>
    <x v="0"/>
    <s v="Brown"/>
    <x v="3"/>
    <s v="USA"/>
    <n v="15"/>
    <x v="1"/>
    <s v="$128.00"/>
    <s v="$72.00"/>
    <n v="1920"/>
    <n v="1080"/>
    <n v="840"/>
    <n v="0.4375"/>
  </r>
  <r>
    <s v="04/28/2026"/>
    <s v="2026"/>
    <s v="28"/>
    <x v="3"/>
    <x v="2"/>
    <x v="2"/>
    <s v="Red"/>
    <x v="3"/>
    <s v="Australia"/>
    <n v="9"/>
    <x v="3"/>
    <s v="$32.00"/>
    <s v="$14.00"/>
    <n v="288"/>
    <n v="126"/>
    <n v="162"/>
    <n v="0.5625"/>
  </r>
  <r>
    <s v="06/25/2026"/>
    <s v="2026"/>
    <s v="25"/>
    <x v="1"/>
    <x v="6"/>
    <x v="2"/>
    <s v="Brown"/>
    <x v="4"/>
    <s v="Zimbabwe"/>
    <n v="14"/>
    <x v="2"/>
    <s v="$112.00"/>
    <s v="$64.00"/>
    <n v="1568"/>
    <n v="896"/>
    <n v="672"/>
    <n v="0.42857142857142855"/>
  </r>
  <r>
    <d v="2026-08-04T00:00:00"/>
    <s v="6238"/>
    <s v="38"/>
    <x v="2"/>
    <x v="6"/>
    <x v="0"/>
    <s v="Black"/>
    <x v="1"/>
    <s v="Ghana"/>
    <n v="14"/>
    <x v="3"/>
    <s v="$112.00"/>
    <s v="$64.00"/>
    <n v="1568"/>
    <n v="896"/>
    <n v="672"/>
    <n v="0.42857142857142855"/>
  </r>
  <r>
    <d v="2026-12-08T00:00:00"/>
    <s v="6364"/>
    <s v="64"/>
    <x v="4"/>
    <x v="4"/>
    <x v="0"/>
    <s v="Black"/>
    <x v="3"/>
    <s v="USA"/>
    <n v="10"/>
    <x v="1"/>
    <s v="$128.00"/>
    <s v="$72.00"/>
    <n v="1280"/>
    <n v="720"/>
    <n v="560"/>
    <n v="0.4375"/>
  </r>
  <r>
    <s v="02/19/2026"/>
    <s v="2026"/>
    <s v="19"/>
    <x v="9"/>
    <x v="6"/>
    <x v="2"/>
    <s v="Green"/>
    <x v="3"/>
    <s v="Australia"/>
    <n v="15"/>
    <x v="0"/>
    <s v="$112.00"/>
    <s v="$64.00"/>
    <n v="1680"/>
    <n v="960"/>
    <n v="720"/>
    <n v="0.42857142857142855"/>
  </r>
  <r>
    <s v="06/24/2026"/>
    <s v="2026"/>
    <s v="24"/>
    <x v="1"/>
    <x v="2"/>
    <x v="2"/>
    <s v="Blue"/>
    <x v="2"/>
    <s v="Cyprus"/>
    <n v="5"/>
    <x v="3"/>
    <s v="$32.00"/>
    <s v="$14.00"/>
    <n v="160"/>
    <n v="70"/>
    <n v="90"/>
    <n v="0.5625"/>
  </r>
  <r>
    <d v="2026-04-02T00:00:00"/>
    <s v="6114"/>
    <s v="14"/>
    <x v="7"/>
    <x v="2"/>
    <x v="0"/>
    <s v="Brown"/>
    <x v="2"/>
    <s v="Cyprus"/>
    <n v="15"/>
    <x v="0"/>
    <s v="$32.00"/>
    <s v="$14.00"/>
    <n v="480"/>
    <n v="210"/>
    <n v="270"/>
    <n v="0.5625"/>
  </r>
  <r>
    <d v="2026-11-01T00:00:00"/>
    <s v="6327"/>
    <s v="27"/>
    <x v="7"/>
    <x v="4"/>
    <x v="2"/>
    <s v="Black"/>
    <x v="2"/>
    <s v="Philippines"/>
    <n v="13"/>
    <x v="2"/>
    <s v="$128.00"/>
    <s v="$72.00"/>
    <n v="1664"/>
    <n v="936"/>
    <n v="728"/>
    <n v="0.4375"/>
  </r>
  <r>
    <d v="2026-07-08T00:00:00"/>
    <s v="6211"/>
    <s v="11"/>
    <x v="7"/>
    <x v="6"/>
    <x v="3"/>
    <s v="Green"/>
    <x v="2"/>
    <s v="Nigeria"/>
    <n v="9"/>
    <x v="2"/>
    <s v="$112.00"/>
    <s v="$64.00"/>
    <n v="1008"/>
    <n v="576"/>
    <n v="432"/>
    <n v="0.42857142857142855"/>
  </r>
  <r>
    <d v="2026-11-04T00:00:00"/>
    <s v="6330"/>
    <s v="30"/>
    <x v="7"/>
    <x v="2"/>
    <x v="1"/>
    <s v="Black"/>
    <x v="1"/>
    <s v="Philippines"/>
    <n v="9"/>
    <x v="1"/>
    <s v="$32.00"/>
    <s v="$14.00"/>
    <n v="288"/>
    <n v="126"/>
    <n v="162"/>
    <n v="0.5625"/>
  </r>
  <r>
    <d v="2026-04-01T00:00:00"/>
    <s v="6113"/>
    <s v="13"/>
    <x v="7"/>
    <x v="7"/>
    <x v="2"/>
    <s v="Green"/>
    <x v="1"/>
    <s v="Zimbabwe"/>
    <n v="9"/>
    <x v="1"/>
    <s v="$119.00"/>
    <s v="$67.00"/>
    <n v="1071"/>
    <n v="603"/>
    <n v="468"/>
    <n v="0.43697478991596639"/>
  </r>
  <r>
    <d v="2026-08-03T00:00:00"/>
    <s v="6237"/>
    <s v="37"/>
    <x v="2"/>
    <x v="4"/>
    <x v="0"/>
    <s v="Blue"/>
    <x v="2"/>
    <s v="Australia"/>
    <n v="3"/>
    <x v="2"/>
    <s v="$128.00"/>
    <s v="$72.00"/>
    <n v="384"/>
    <n v="216"/>
    <n v="168"/>
    <n v="0.4375"/>
  </r>
  <r>
    <s v="03/25/2026"/>
    <s v="2026"/>
    <s v="25"/>
    <x v="6"/>
    <x v="6"/>
    <x v="2"/>
    <s v="Brown"/>
    <x v="3"/>
    <s v="Ghana"/>
    <n v="2"/>
    <x v="3"/>
    <s v="$112.00"/>
    <s v="$64.00"/>
    <n v="224"/>
    <n v="128"/>
    <n v="96"/>
    <n v="0.42857142857142855"/>
  </r>
  <r>
    <s v="05/23/2026"/>
    <s v="2026"/>
    <s v="23"/>
    <x v="0"/>
    <x v="3"/>
    <x v="1"/>
    <s v="Red"/>
    <x v="4"/>
    <s v="India"/>
    <n v="6"/>
    <x v="0"/>
    <s v="$76.00"/>
    <s v="$39.00"/>
    <n v="456"/>
    <n v="234"/>
    <n v="222"/>
    <n v="0.48684210526315791"/>
  </r>
  <r>
    <d v="2026-11-05T00:00:00"/>
    <s v="6331"/>
    <s v="31"/>
    <x v="7"/>
    <x v="7"/>
    <x v="3"/>
    <s v="Brown"/>
    <x v="3"/>
    <s v="USA"/>
    <n v="4"/>
    <x v="1"/>
    <s v="$119.00"/>
    <s v="$67.00"/>
    <n v="476"/>
    <n v="268"/>
    <n v="208"/>
    <n v="0.43697478991596639"/>
  </r>
  <r>
    <d v="2026-08-07T00:00:00"/>
    <s v="6241"/>
    <s v="41"/>
    <x v="2"/>
    <x v="7"/>
    <x v="0"/>
    <s v="Black"/>
    <x v="3"/>
    <s v="Germany"/>
    <n v="7"/>
    <x v="1"/>
    <s v="$119.00"/>
    <s v="$67.00"/>
    <n v="833"/>
    <n v="469"/>
    <n v="364"/>
    <n v="0.43697478991596639"/>
  </r>
  <r>
    <d v="2026-03-03T00:00:00"/>
    <s v="6084"/>
    <s v="84"/>
    <x v="4"/>
    <x v="1"/>
    <x v="2"/>
    <s v="Blue"/>
    <x v="3"/>
    <s v="Canada"/>
    <n v="14"/>
    <x v="1"/>
    <s v="$54.00"/>
    <s v="$28.00"/>
    <n v="756"/>
    <n v="392"/>
    <n v="364"/>
    <n v="0.48148148148148145"/>
  </r>
  <r>
    <s v="03/13/2026"/>
    <s v="2026"/>
    <s v="13"/>
    <x v="6"/>
    <x v="1"/>
    <x v="1"/>
    <s v="Red"/>
    <x v="0"/>
    <s v="Albania"/>
    <n v="12"/>
    <x v="0"/>
    <s v="$54.00"/>
    <s v="$28.00"/>
    <n v="648"/>
    <n v="336"/>
    <n v="312"/>
    <n v="0.48148148148148145"/>
  </r>
  <r>
    <d v="2026-05-08T00:00:00"/>
    <s v="6150"/>
    <s v="50"/>
    <x v="2"/>
    <x v="2"/>
    <x v="0"/>
    <s v="Red"/>
    <x v="3"/>
    <s v="UK"/>
    <n v="11"/>
    <x v="1"/>
    <s v="$32.00"/>
    <s v="$14.00"/>
    <n v="352"/>
    <n v="154"/>
    <n v="198"/>
    <n v="0.5625"/>
  </r>
  <r>
    <d v="2026-02-06T00:00:00"/>
    <s v="6059"/>
    <s v="59"/>
    <x v="2"/>
    <x v="7"/>
    <x v="1"/>
    <s v="Green"/>
    <x v="3"/>
    <s v="UK"/>
    <n v="4"/>
    <x v="0"/>
    <s v="$119.00"/>
    <s v="$67.00"/>
    <n v="476"/>
    <n v="268"/>
    <n v="208"/>
    <n v="0.43697478991596639"/>
  </r>
  <r>
    <s v="01/17/2026"/>
    <s v="2026"/>
    <s v="17"/>
    <x v="5"/>
    <x v="5"/>
    <x v="0"/>
    <s v="Red"/>
    <x v="0"/>
    <s v="Zimbabwe"/>
    <n v="4"/>
    <x v="0"/>
    <s v="$105.00"/>
    <s v="$58.00"/>
    <n v="420"/>
    <n v="232"/>
    <n v="188"/>
    <n v="0.44761904761904764"/>
  </r>
  <r>
    <d v="2026-07-07T00:00:00"/>
    <s v="6210"/>
    <s v="10"/>
    <x v="7"/>
    <x v="2"/>
    <x v="0"/>
    <s v="Black"/>
    <x v="3"/>
    <s v="Germany"/>
    <n v="3"/>
    <x v="1"/>
    <s v="$32.00"/>
    <s v="$14.00"/>
    <n v="96"/>
    <n v="42"/>
    <n v="54"/>
    <n v="0.5625"/>
  </r>
  <r>
    <s v="05/23/2026"/>
    <s v="2026"/>
    <s v="23"/>
    <x v="0"/>
    <x v="6"/>
    <x v="2"/>
    <s v="Brown"/>
    <x v="4"/>
    <s v="Australia"/>
    <n v="15"/>
    <x v="1"/>
    <s v="$112.00"/>
    <s v="$64.00"/>
    <n v="1680"/>
    <n v="960"/>
    <n v="720"/>
    <n v="0.42857142857142855"/>
  </r>
  <r>
    <s v="02/19/2026"/>
    <s v="2026"/>
    <s v="19"/>
    <x v="9"/>
    <x v="0"/>
    <x v="1"/>
    <s v="Blue"/>
    <x v="2"/>
    <s v="Australia"/>
    <n v="9"/>
    <x v="1"/>
    <s v="$89.00"/>
    <s v="$47.00"/>
    <n v="801"/>
    <n v="423"/>
    <n v="378"/>
    <n v="0.47191011235955055"/>
  </r>
  <r>
    <d v="2026-06-04T00:00:00"/>
    <s v="6177"/>
    <s v="77"/>
    <x v="4"/>
    <x v="4"/>
    <x v="3"/>
    <s v="Blue"/>
    <x v="3"/>
    <s v="USA"/>
    <n v="12"/>
    <x v="0"/>
    <s v="$128.00"/>
    <s v="$72.00"/>
    <n v="1536"/>
    <n v="864"/>
    <n v="672"/>
    <n v="0.4375"/>
  </r>
  <r>
    <s v="03/24/2026"/>
    <s v="2026"/>
    <s v="24"/>
    <x v="6"/>
    <x v="6"/>
    <x v="3"/>
    <s v="Blue"/>
    <x v="3"/>
    <s v="Ghana"/>
    <n v="5"/>
    <x v="2"/>
    <s v="$112.00"/>
    <s v="$64.00"/>
    <n v="560"/>
    <n v="320"/>
    <n v="240"/>
    <n v="0.42857142857142855"/>
  </r>
  <r>
    <d v="2026-05-04T00:00:00"/>
    <s v="6146"/>
    <s v="46"/>
    <x v="2"/>
    <x v="3"/>
    <x v="0"/>
    <s v="Brown"/>
    <x v="1"/>
    <s v="Cyprus"/>
    <n v="4"/>
    <x v="3"/>
    <s v="$76.00"/>
    <s v="$39.00"/>
    <n v="304"/>
    <n v="156"/>
    <n v="148"/>
    <n v="0.48684210526315791"/>
  </r>
  <r>
    <s v="07/20/2026"/>
    <s v="2026"/>
    <s v="20"/>
    <x v="8"/>
    <x v="0"/>
    <x v="1"/>
    <s v="Blue"/>
    <x v="3"/>
    <s v="Kenya"/>
    <n v="10"/>
    <x v="1"/>
    <s v="$89.00"/>
    <s v="$47.00"/>
    <n v="890"/>
    <n v="470"/>
    <n v="420"/>
    <n v="0.47191011235955055"/>
  </r>
  <r>
    <s v="07/18/2026"/>
    <s v="2026"/>
    <s v="18"/>
    <x v="8"/>
    <x v="1"/>
    <x v="3"/>
    <s v="Red"/>
    <x v="2"/>
    <s v="Ghana"/>
    <n v="4"/>
    <x v="3"/>
    <s v="$54.00"/>
    <s v="$28.00"/>
    <n v="216"/>
    <n v="112"/>
    <n v="104"/>
    <n v="0.48148148148148145"/>
  </r>
  <r>
    <s v="08/14/2026"/>
    <s v="2026"/>
    <s v="14"/>
    <x v="10"/>
    <x v="6"/>
    <x v="2"/>
    <s v="Green"/>
    <x v="1"/>
    <s v="USA"/>
    <n v="1"/>
    <x v="0"/>
    <s v="$112.00"/>
    <s v="$64.00"/>
    <n v="112"/>
    <n v="64"/>
    <n v="48"/>
    <n v="0.42857142857142855"/>
  </r>
  <r>
    <d v="2026-01-02T00:00:00"/>
    <s v="6024"/>
    <s v="24"/>
    <x v="7"/>
    <x v="0"/>
    <x v="0"/>
    <s v="Blue"/>
    <x v="1"/>
    <s v="Germany"/>
    <n v="13"/>
    <x v="1"/>
    <s v="$89.00"/>
    <s v="$47.00"/>
    <n v="1157"/>
    <n v="611"/>
    <n v="546"/>
    <n v="0.47191011235955055"/>
  </r>
  <r>
    <s v="03/13/2026"/>
    <s v="2026"/>
    <s v="13"/>
    <x v="6"/>
    <x v="1"/>
    <x v="3"/>
    <s v="Brown"/>
    <x v="1"/>
    <s v="Kenya"/>
    <n v="7"/>
    <x v="1"/>
    <s v="$54.00"/>
    <s v="$28.00"/>
    <n v="378"/>
    <n v="196"/>
    <n v="182"/>
    <n v="0.48148148148148145"/>
  </r>
  <r>
    <s v="06/14/2026"/>
    <s v="2026"/>
    <s v="14"/>
    <x v="1"/>
    <x v="2"/>
    <x v="0"/>
    <s v="Brown"/>
    <x v="1"/>
    <s v="Australia"/>
    <n v="10"/>
    <x v="2"/>
    <s v="$32.00"/>
    <s v="$14.00"/>
    <n v="320"/>
    <n v="140"/>
    <n v="180"/>
    <n v="0.5625"/>
  </r>
  <r>
    <s v="01/25/2026"/>
    <s v="2026"/>
    <s v="25"/>
    <x v="5"/>
    <x v="0"/>
    <x v="0"/>
    <s v="Brown"/>
    <x v="3"/>
    <s v="Zimbabwe"/>
    <n v="5"/>
    <x v="2"/>
    <s v="$89.00"/>
    <s v="$47.00"/>
    <n v="445"/>
    <n v="235"/>
    <n v="210"/>
    <n v="0.47191011235955055"/>
  </r>
  <r>
    <s v="03/27/2026"/>
    <s v="2026"/>
    <s v="27"/>
    <x v="6"/>
    <x v="3"/>
    <x v="2"/>
    <s v="Red"/>
    <x v="1"/>
    <s v="Australia"/>
    <n v="2"/>
    <x v="3"/>
    <s v="$76.00"/>
    <s v="$39.00"/>
    <n v="152"/>
    <n v="78"/>
    <n v="74"/>
    <n v="0.48684210526315791"/>
  </r>
  <r>
    <s v="06/25/2026"/>
    <s v="2026"/>
    <s v="25"/>
    <x v="1"/>
    <x v="2"/>
    <x v="2"/>
    <s v="Brown"/>
    <x v="1"/>
    <s v="UK"/>
    <n v="8"/>
    <x v="1"/>
    <s v="$32.00"/>
    <s v="$14.00"/>
    <n v="256"/>
    <n v="112"/>
    <n v="144"/>
    <n v="0.5625"/>
  </r>
  <r>
    <s v="07/20/2026"/>
    <s v="2026"/>
    <s v="20"/>
    <x v="8"/>
    <x v="6"/>
    <x v="0"/>
    <s v="Brown"/>
    <x v="3"/>
    <s v="India"/>
    <n v="4"/>
    <x v="1"/>
    <s v="$112.00"/>
    <s v="$64.00"/>
    <n v="448"/>
    <n v="256"/>
    <n v="192"/>
    <n v="0.42857142857142855"/>
  </r>
  <r>
    <s v="01/24/2026"/>
    <s v="2026"/>
    <s v="24"/>
    <x v="5"/>
    <x v="1"/>
    <x v="2"/>
    <s v="Red"/>
    <x v="4"/>
    <s v="India"/>
    <n v="10"/>
    <x v="1"/>
    <s v="$54.00"/>
    <s v="$28.00"/>
    <n v="540"/>
    <n v="280"/>
    <n v="260"/>
    <n v="0.48148148148148145"/>
  </r>
  <r>
    <d v="2026-07-04T00:00:00"/>
    <s v="6207"/>
    <s v="07"/>
    <x v="7"/>
    <x v="6"/>
    <x v="1"/>
    <s v="Green"/>
    <x v="1"/>
    <s v="Zimbabwe"/>
    <n v="12"/>
    <x v="0"/>
    <s v="$112.00"/>
    <s v="$64.00"/>
    <n v="1344"/>
    <n v="768"/>
    <n v="576"/>
    <n v="0.42857142857142855"/>
  </r>
  <r>
    <d v="2026-05-04T00:00:00"/>
    <s v="6146"/>
    <s v="46"/>
    <x v="2"/>
    <x v="3"/>
    <x v="0"/>
    <s v="Green"/>
    <x v="3"/>
    <s v="Uganda"/>
    <n v="4"/>
    <x v="1"/>
    <s v="$76.00"/>
    <s v="$39.00"/>
    <n v="304"/>
    <n v="156"/>
    <n v="148"/>
    <n v="0.48684210526315791"/>
  </r>
  <r>
    <d v="2026-10-03T00:00:00"/>
    <s v="6298"/>
    <s v="98"/>
    <x v="5"/>
    <x v="3"/>
    <x v="0"/>
    <s v="Brown"/>
    <x v="3"/>
    <s v="USA"/>
    <n v="6"/>
    <x v="2"/>
    <s v="$76.00"/>
    <s v="$39.00"/>
    <n v="456"/>
    <n v="234"/>
    <n v="222"/>
    <n v="0.48684210526315791"/>
  </r>
  <r>
    <d v="2026-08-05T00:00:00"/>
    <s v="6239"/>
    <s v="39"/>
    <x v="2"/>
    <x v="6"/>
    <x v="0"/>
    <s v="Red"/>
    <x v="0"/>
    <s v="Canada"/>
    <n v="4"/>
    <x v="1"/>
    <s v="$112.00"/>
    <s v="$64.00"/>
    <n v="448"/>
    <n v="256"/>
    <n v="192"/>
    <n v="0.42857142857142855"/>
  </r>
  <r>
    <d v="2026-08-06T00:00:00"/>
    <s v="6240"/>
    <s v="40"/>
    <x v="2"/>
    <x v="2"/>
    <x v="0"/>
    <s v="Green"/>
    <x v="2"/>
    <s v="Uganda"/>
    <n v="5"/>
    <x v="1"/>
    <s v="$32.00"/>
    <s v="$14.00"/>
    <n v="160"/>
    <n v="70"/>
    <n v="90"/>
    <n v="0.5625"/>
  </r>
  <r>
    <s v="03/16/2026"/>
    <s v="2026"/>
    <s v="16"/>
    <x v="6"/>
    <x v="1"/>
    <x v="2"/>
    <s v="Green"/>
    <x v="1"/>
    <s v="USA"/>
    <n v="5"/>
    <x v="1"/>
    <s v="$54.00"/>
    <s v="$28.00"/>
    <n v="270"/>
    <n v="140"/>
    <n v="130"/>
    <n v="0.48148148148148145"/>
  </r>
  <r>
    <s v="06/20/2026"/>
    <s v="2026"/>
    <s v="20"/>
    <x v="1"/>
    <x v="4"/>
    <x v="3"/>
    <s v="Black"/>
    <x v="2"/>
    <s v="Kenya"/>
    <n v="11"/>
    <x v="0"/>
    <s v="$128.00"/>
    <s v="$72.00"/>
    <n v="1408"/>
    <n v="792"/>
    <n v="616"/>
    <n v="0.4375"/>
  </r>
  <r>
    <d v="2026-01-07T00:00:00"/>
    <s v="6029"/>
    <s v="29"/>
    <x v="7"/>
    <x v="4"/>
    <x v="3"/>
    <s v="Black"/>
    <x v="4"/>
    <s v="Uganda"/>
    <n v="3"/>
    <x v="0"/>
    <s v="$128.00"/>
    <s v="$72.00"/>
    <n v="384"/>
    <n v="216"/>
    <n v="168"/>
    <n v="0.4375"/>
  </r>
  <r>
    <d v="2026-08-02T00:00:00"/>
    <s v="6236"/>
    <s v="36"/>
    <x v="2"/>
    <x v="0"/>
    <x v="0"/>
    <s v="Green"/>
    <x v="1"/>
    <s v="UK"/>
    <n v="4"/>
    <x v="1"/>
    <s v="$89.00"/>
    <s v="$47.00"/>
    <n v="356"/>
    <n v="188"/>
    <n v="168"/>
    <n v="0.47191011235955055"/>
  </r>
  <r>
    <s v="06/14/2026"/>
    <s v="2026"/>
    <s v="14"/>
    <x v="1"/>
    <x v="5"/>
    <x v="2"/>
    <s v="Blue"/>
    <x v="0"/>
    <s v="Philippines"/>
    <n v="8"/>
    <x v="2"/>
    <s v="$105.00"/>
    <s v="$58.00"/>
    <n v="840"/>
    <n v="464"/>
    <n v="376"/>
    <n v="0.44761904761904764"/>
  </r>
  <r>
    <d v="2026-06-05T00:00:00"/>
    <s v="6178"/>
    <s v="78"/>
    <x v="4"/>
    <x v="4"/>
    <x v="3"/>
    <s v="Red"/>
    <x v="3"/>
    <s v="Uganda"/>
    <n v="8"/>
    <x v="2"/>
    <s v="$128.00"/>
    <s v="$72.00"/>
    <n v="1024"/>
    <n v="576"/>
    <n v="448"/>
    <n v="0.4375"/>
  </r>
  <r>
    <s v="02/27/2026"/>
    <s v="2026"/>
    <s v="27"/>
    <x v="9"/>
    <x v="3"/>
    <x v="0"/>
    <s v="Blue"/>
    <x v="3"/>
    <s v="Nigeria"/>
    <n v="8"/>
    <x v="2"/>
    <s v="$76.00"/>
    <s v="$39.00"/>
    <n v="608"/>
    <n v="312"/>
    <n v="296"/>
    <n v="0.48684210526315791"/>
  </r>
  <r>
    <d v="2026-09-05T00:00:00"/>
    <s v="6270"/>
    <s v="70"/>
    <x v="4"/>
    <x v="2"/>
    <x v="1"/>
    <s v="Red"/>
    <x v="3"/>
    <s v="Uganda"/>
    <n v="6"/>
    <x v="1"/>
    <s v="$32.00"/>
    <s v="$14.00"/>
    <n v="192"/>
    <n v="84"/>
    <n v="108"/>
    <n v="0.5625"/>
  </r>
  <r>
    <d v="2026-02-03T00:00:00"/>
    <s v="6056"/>
    <s v="56"/>
    <x v="2"/>
    <x v="3"/>
    <x v="2"/>
    <s v="Brown"/>
    <x v="2"/>
    <s v="Canada"/>
    <n v="4"/>
    <x v="3"/>
    <s v="$76.00"/>
    <s v="$39.00"/>
    <n v="304"/>
    <n v="156"/>
    <n v="148"/>
    <n v="0.48684210526315791"/>
  </r>
  <r>
    <d v="2026-11-08T00:00:00"/>
    <s v="6334"/>
    <s v="34"/>
    <x v="2"/>
    <x v="0"/>
    <x v="0"/>
    <s v="Blue"/>
    <x v="3"/>
    <s v="Australia"/>
    <n v="14"/>
    <x v="3"/>
    <s v="$89.00"/>
    <s v="$47.00"/>
    <n v="1246"/>
    <n v="658"/>
    <n v="588"/>
    <n v="0.47191011235955055"/>
  </r>
  <r>
    <s v="01/30/2026"/>
    <s v="2026"/>
    <s v="30"/>
    <x v="5"/>
    <x v="0"/>
    <x v="0"/>
    <s v="Green"/>
    <x v="0"/>
    <s v="Kenya"/>
    <n v="7"/>
    <x v="3"/>
    <s v="$89.00"/>
    <s v="$47.00"/>
    <n v="623"/>
    <n v="329"/>
    <n v="294"/>
    <n v="0.47191011235955055"/>
  </r>
  <r>
    <s v="04/29/2026"/>
    <s v="2026"/>
    <s v="29"/>
    <x v="3"/>
    <x v="6"/>
    <x v="0"/>
    <s v="Brown"/>
    <x v="2"/>
    <s v="India"/>
    <n v="8"/>
    <x v="0"/>
    <s v="$112.00"/>
    <s v="$64.00"/>
    <n v="896"/>
    <n v="512"/>
    <n v="384"/>
    <n v="0.42857142857142855"/>
  </r>
  <r>
    <d v="2026-01-02T00:00:00"/>
    <s v="6024"/>
    <s v="24"/>
    <x v="7"/>
    <x v="5"/>
    <x v="0"/>
    <s v="Black"/>
    <x v="1"/>
    <s v="USA"/>
    <n v="12"/>
    <x v="1"/>
    <s v="$105.00"/>
    <s v="$58.00"/>
    <n v="1260"/>
    <n v="696"/>
    <n v="564"/>
    <n v="0.44761904761904764"/>
  </r>
  <r>
    <s v="01/15/2026"/>
    <s v="2026"/>
    <s v="15"/>
    <x v="5"/>
    <x v="7"/>
    <x v="0"/>
    <s v="Brown"/>
    <x v="4"/>
    <s v="UK"/>
    <n v="8"/>
    <x v="1"/>
    <s v="$119.00"/>
    <s v="$67.00"/>
    <n v="952"/>
    <n v="536"/>
    <n v="416"/>
    <n v="0.43697478991596639"/>
  </r>
  <r>
    <s v="05/15/2026"/>
    <s v="2026"/>
    <s v="15"/>
    <x v="0"/>
    <x v="5"/>
    <x v="3"/>
    <s v="Red"/>
    <x v="0"/>
    <s v="Zimbabwe"/>
    <n v="11"/>
    <x v="2"/>
    <s v="$105.00"/>
    <s v="$58.00"/>
    <n v="1155"/>
    <n v="638"/>
    <n v="517"/>
    <n v="0.44761904761904764"/>
  </r>
  <r>
    <d v="2026-05-08T00:00:00"/>
    <s v="6150"/>
    <s v="50"/>
    <x v="2"/>
    <x v="3"/>
    <x v="1"/>
    <s v="Brown"/>
    <x v="3"/>
    <s v="Philippines"/>
    <n v="2"/>
    <x v="3"/>
    <s v="$76.00"/>
    <s v="$39.00"/>
    <n v="152"/>
    <n v="78"/>
    <n v="74"/>
    <n v="0.48684210526315791"/>
  </r>
  <r>
    <d v="2026-12-04T00:00:00"/>
    <s v="6360"/>
    <s v="60"/>
    <x v="2"/>
    <x v="7"/>
    <x v="0"/>
    <s v="Green"/>
    <x v="4"/>
    <s v="Kenya"/>
    <n v="7"/>
    <x v="0"/>
    <s v="$119.00"/>
    <s v="$67.00"/>
    <n v="833"/>
    <n v="469"/>
    <n v="364"/>
    <n v="0.43697478991596639"/>
  </r>
  <r>
    <d v="2026-08-02T00:00:00"/>
    <s v="6236"/>
    <s v="36"/>
    <x v="2"/>
    <x v="7"/>
    <x v="0"/>
    <s v="Blue"/>
    <x v="3"/>
    <s v="USA"/>
    <n v="1"/>
    <x v="3"/>
    <s v="$119.00"/>
    <s v="$67.00"/>
    <n v="119"/>
    <n v="67"/>
    <n v="52"/>
    <n v="0.43697478991596639"/>
  </r>
  <r>
    <d v="2026-09-03T00:00:00"/>
    <s v="6268"/>
    <s v="68"/>
    <x v="4"/>
    <x v="2"/>
    <x v="1"/>
    <s v="Blue"/>
    <x v="0"/>
    <s v="Albania"/>
    <n v="11"/>
    <x v="2"/>
    <s v="$32.00"/>
    <s v="$14.00"/>
    <n v="352"/>
    <n v="154"/>
    <n v="198"/>
    <n v="0.5625"/>
  </r>
  <r>
    <d v="2026-09-06T00:00:00"/>
    <s v="6271"/>
    <s v="71"/>
    <x v="4"/>
    <x v="6"/>
    <x v="2"/>
    <s v="Brown"/>
    <x v="0"/>
    <s v="Ghana"/>
    <n v="14"/>
    <x v="0"/>
    <s v="$112.00"/>
    <s v="$64.00"/>
    <n v="1568"/>
    <n v="896"/>
    <n v="672"/>
    <n v="0.42857142857142855"/>
  </r>
  <r>
    <d v="2026-08-04T00:00:00"/>
    <s v="6238"/>
    <s v="38"/>
    <x v="2"/>
    <x v="7"/>
    <x v="0"/>
    <s v="Brown"/>
    <x v="3"/>
    <s v="Ghana"/>
    <n v="4"/>
    <x v="2"/>
    <s v="$119.00"/>
    <s v="$67.00"/>
    <n v="476"/>
    <n v="268"/>
    <n v="208"/>
    <n v="0.43697478991596639"/>
  </r>
  <r>
    <d v="2026-06-05T00:00:00"/>
    <s v="6178"/>
    <s v="78"/>
    <x v="4"/>
    <x v="3"/>
    <x v="0"/>
    <s v="Blue"/>
    <x v="1"/>
    <s v="Cyprus"/>
    <n v="5"/>
    <x v="1"/>
    <s v="$76.00"/>
    <s v="$39.00"/>
    <n v="380"/>
    <n v="195"/>
    <n v="185"/>
    <n v="0.48684210526315791"/>
  </r>
  <r>
    <s v="07/25/2026"/>
    <s v="2026"/>
    <s v="25"/>
    <x v="8"/>
    <x v="4"/>
    <x v="0"/>
    <s v="Brown"/>
    <x v="1"/>
    <s v="Nigeria"/>
    <n v="5"/>
    <x v="3"/>
    <s v="$128.00"/>
    <s v="$72.00"/>
    <n v="640"/>
    <n v="360"/>
    <n v="280"/>
    <n v="0.4375"/>
  </r>
  <r>
    <d v="2026-12-06T00:00:00"/>
    <s v="6362"/>
    <s v="62"/>
    <x v="4"/>
    <x v="2"/>
    <x v="0"/>
    <s v="Green"/>
    <x v="3"/>
    <s v="USA"/>
    <n v="15"/>
    <x v="0"/>
    <s v="$32.00"/>
    <s v="$14.00"/>
    <n v="480"/>
    <n v="210"/>
    <n v="270"/>
    <n v="0.5625"/>
  </r>
  <r>
    <s v="06/21/2026"/>
    <s v="2026"/>
    <s v="21"/>
    <x v="1"/>
    <x v="3"/>
    <x v="0"/>
    <s v="Brown"/>
    <x v="1"/>
    <s v="USA"/>
    <n v="14"/>
    <x v="1"/>
    <s v="$76.00"/>
    <s v="$39.00"/>
    <n v="1064"/>
    <n v="546"/>
    <n v="518"/>
    <n v="0.48684210526315791"/>
  </r>
  <r>
    <s v="04/28/2026"/>
    <s v="2026"/>
    <s v="28"/>
    <x v="3"/>
    <x v="1"/>
    <x v="3"/>
    <s v="Blue"/>
    <x v="2"/>
    <s v="Uganda"/>
    <n v="6"/>
    <x v="3"/>
    <s v="$54.00"/>
    <s v="$28.00"/>
    <n v="324"/>
    <n v="168"/>
    <n v="156"/>
    <n v="0.48148148148148145"/>
  </r>
  <r>
    <s v="07/13/2026"/>
    <s v="2026"/>
    <s v="13"/>
    <x v="8"/>
    <x v="2"/>
    <x v="2"/>
    <s v="Brown"/>
    <x v="3"/>
    <s v="Zimbabwe"/>
    <n v="12"/>
    <x v="2"/>
    <s v="$32.00"/>
    <s v="$14.00"/>
    <n v="384"/>
    <n v="168"/>
    <n v="216"/>
    <n v="0.5625"/>
  </r>
  <r>
    <d v="2026-01-01T00:00:00"/>
    <s v="6023"/>
    <s v="23"/>
    <x v="7"/>
    <x v="7"/>
    <x v="2"/>
    <s v="Black"/>
    <x v="1"/>
    <s v="USA"/>
    <n v="9"/>
    <x v="2"/>
    <s v="$119.00"/>
    <s v="$67.00"/>
    <n v="1071"/>
    <n v="603"/>
    <n v="468"/>
    <n v="0.43697478991596639"/>
  </r>
  <r>
    <s v="05/29/2026"/>
    <s v="2026"/>
    <s v="29"/>
    <x v="0"/>
    <x v="3"/>
    <x v="1"/>
    <s v="Red"/>
    <x v="3"/>
    <s v="India"/>
    <n v="7"/>
    <x v="1"/>
    <s v="$76.00"/>
    <s v="$39.00"/>
    <n v="532"/>
    <n v="273"/>
    <n v="259"/>
    <n v="0.48684210526315791"/>
  </r>
  <r>
    <s v="02/13/2026"/>
    <s v="2026"/>
    <s v="13"/>
    <x v="9"/>
    <x v="6"/>
    <x v="2"/>
    <s v="Blue"/>
    <x v="3"/>
    <s v="Philippines"/>
    <n v="13"/>
    <x v="2"/>
    <s v="$112.00"/>
    <s v="$64.00"/>
    <n v="1456"/>
    <n v="832"/>
    <n v="624"/>
    <n v="0.42857142857142855"/>
  </r>
  <r>
    <d v="2026-05-05T00:00:00"/>
    <s v="6147"/>
    <s v="47"/>
    <x v="2"/>
    <x v="0"/>
    <x v="1"/>
    <s v="Red"/>
    <x v="1"/>
    <s v="USA"/>
    <n v="8"/>
    <x v="0"/>
    <s v="$89.00"/>
    <s v="$47.00"/>
    <n v="712"/>
    <n v="376"/>
    <n v="336"/>
    <n v="0.47191011235955055"/>
  </r>
  <r>
    <s v="01/19/2026"/>
    <s v="2026"/>
    <s v="19"/>
    <x v="5"/>
    <x v="1"/>
    <x v="0"/>
    <s v="Black"/>
    <x v="0"/>
    <s v="UK"/>
    <n v="6"/>
    <x v="2"/>
    <s v="$54.00"/>
    <s v="$28.00"/>
    <n v="324"/>
    <n v="168"/>
    <n v="156"/>
    <n v="0.48148148148148145"/>
  </r>
  <r>
    <s v="07/21/2026"/>
    <s v="2026"/>
    <s v="21"/>
    <x v="8"/>
    <x v="5"/>
    <x v="0"/>
    <s v="Green"/>
    <x v="0"/>
    <s v="USA"/>
    <n v="13"/>
    <x v="0"/>
    <s v="$105.00"/>
    <s v="$58.00"/>
    <n v="1365"/>
    <n v="754"/>
    <n v="611"/>
    <n v="0.44761904761904764"/>
  </r>
  <r>
    <s v="06/30/2026"/>
    <s v="2026"/>
    <s v="30"/>
    <x v="1"/>
    <x v="3"/>
    <x v="0"/>
    <s v="Green"/>
    <x v="3"/>
    <s v="USA"/>
    <n v="7"/>
    <x v="0"/>
    <s v="$76.00"/>
    <s v="$39.00"/>
    <n v="532"/>
    <n v="273"/>
    <n v="259"/>
    <n v="0.48684210526315791"/>
  </r>
  <r>
    <d v="2026-10-08T00:00:00"/>
    <s v="6303"/>
    <s v="03"/>
    <x v="7"/>
    <x v="5"/>
    <x v="3"/>
    <s v="Green"/>
    <x v="0"/>
    <s v="Ghana"/>
    <n v="9"/>
    <x v="0"/>
    <s v="$105.00"/>
    <s v="$58.00"/>
    <n v="945"/>
    <n v="522"/>
    <n v="423"/>
    <n v="0.44761904761904764"/>
  </r>
  <r>
    <d v="2026-10-04T00:00:00"/>
    <s v="6299"/>
    <s v="99"/>
    <x v="5"/>
    <x v="2"/>
    <x v="1"/>
    <s v="Brown"/>
    <x v="4"/>
    <s v="Canada"/>
    <n v="3"/>
    <x v="0"/>
    <s v="$32.00"/>
    <s v="$14.00"/>
    <n v="96"/>
    <n v="42"/>
    <n v="54"/>
    <n v="0.5625"/>
  </r>
  <r>
    <d v="2026-07-06T00:00:00"/>
    <s v="6209"/>
    <s v="09"/>
    <x v="7"/>
    <x v="0"/>
    <x v="3"/>
    <s v="Green"/>
    <x v="2"/>
    <s v="UK"/>
    <n v="11"/>
    <x v="3"/>
    <s v="$89.00"/>
    <s v="$47.00"/>
    <n v="979"/>
    <n v="517"/>
    <n v="462"/>
    <n v="0.47191011235955055"/>
  </r>
  <r>
    <s v="06/27/2026"/>
    <s v="2026"/>
    <s v="27"/>
    <x v="1"/>
    <x v="4"/>
    <x v="2"/>
    <s v="Green"/>
    <x v="1"/>
    <s v="India"/>
    <n v="15"/>
    <x v="2"/>
    <s v="$128.00"/>
    <s v="$72.00"/>
    <n v="1920"/>
    <n v="1080"/>
    <n v="840"/>
    <n v="0.4375"/>
  </r>
  <r>
    <s v="05/25/2026"/>
    <s v="2026"/>
    <s v="25"/>
    <x v="0"/>
    <x v="0"/>
    <x v="0"/>
    <s v="Green"/>
    <x v="3"/>
    <s v="UK"/>
    <n v="9"/>
    <x v="1"/>
    <s v="$89.00"/>
    <s v="$47.00"/>
    <n v="801"/>
    <n v="423"/>
    <n v="378"/>
    <n v="0.47191011235955055"/>
  </r>
  <r>
    <d v="2026-02-08T00:00:00"/>
    <s v="6061"/>
    <s v="61"/>
    <x v="2"/>
    <x v="0"/>
    <x v="0"/>
    <s v="Red"/>
    <x v="4"/>
    <s v="USA"/>
    <n v="1"/>
    <x v="3"/>
    <s v="$89.00"/>
    <s v="$47.00"/>
    <n v="89"/>
    <n v="47"/>
    <n v="42"/>
    <n v="0.47191011235955055"/>
  </r>
  <r>
    <d v="2026-10-05T00:00:00"/>
    <s v="6300"/>
    <s v="00"/>
    <x v="11"/>
    <x v="4"/>
    <x v="0"/>
    <s v="Blue"/>
    <x v="0"/>
    <s v="India"/>
    <n v="1"/>
    <x v="0"/>
    <s v="$128.00"/>
    <s v="$72.00"/>
    <n v="128"/>
    <n v="72"/>
    <n v="56"/>
    <n v="0.4375"/>
  </r>
  <r>
    <s v="02/18/2026"/>
    <s v="2026"/>
    <s v="18"/>
    <x v="9"/>
    <x v="5"/>
    <x v="1"/>
    <s v="Brown"/>
    <x v="4"/>
    <s v="Philippines"/>
    <n v="7"/>
    <x v="2"/>
    <s v="$105.00"/>
    <s v="$58.00"/>
    <n v="735"/>
    <n v="406"/>
    <n v="329"/>
    <n v="0.44761904761904764"/>
  </r>
  <r>
    <s v="04/14/2026"/>
    <s v="2026"/>
    <s v="14"/>
    <x v="3"/>
    <x v="0"/>
    <x v="0"/>
    <s v="Blue"/>
    <x v="1"/>
    <s v="Uganda"/>
    <n v="13"/>
    <x v="1"/>
    <s v="$89.00"/>
    <s v="$47.00"/>
    <n v="1157"/>
    <n v="611"/>
    <n v="546"/>
    <n v="0.47191011235955055"/>
  </r>
  <r>
    <s v="02/16/2026"/>
    <s v="2026"/>
    <s v="16"/>
    <x v="9"/>
    <x v="5"/>
    <x v="0"/>
    <s v="Blue"/>
    <x v="1"/>
    <s v="Ghana"/>
    <n v="15"/>
    <x v="1"/>
    <s v="$105.00"/>
    <s v="$58.00"/>
    <n v="1575"/>
    <n v="870"/>
    <n v="705"/>
    <n v="0.44761904761904764"/>
  </r>
  <r>
    <d v="2026-10-03T00:00:00"/>
    <s v="6298"/>
    <s v="98"/>
    <x v="5"/>
    <x v="5"/>
    <x v="0"/>
    <s v="Brown"/>
    <x v="3"/>
    <s v="Canada"/>
    <n v="9"/>
    <x v="3"/>
    <s v="$105.00"/>
    <s v="$58.00"/>
    <n v="945"/>
    <n v="522"/>
    <n v="423"/>
    <n v="0.44761904761904764"/>
  </r>
  <r>
    <d v="2026-07-02T00:00:00"/>
    <s v="6205"/>
    <s v="05"/>
    <x v="7"/>
    <x v="0"/>
    <x v="1"/>
    <s v="Blue"/>
    <x v="1"/>
    <s v="Australia"/>
    <n v="15"/>
    <x v="2"/>
    <s v="$89.00"/>
    <s v="$47.00"/>
    <n v="1335"/>
    <n v="705"/>
    <n v="630"/>
    <n v="0.47191011235955055"/>
  </r>
  <r>
    <s v="01/31/2026"/>
    <s v="2026"/>
    <s v="31"/>
    <x v="5"/>
    <x v="2"/>
    <x v="0"/>
    <s v="Green"/>
    <x v="3"/>
    <s v="Albania"/>
    <n v="15"/>
    <x v="0"/>
    <s v="$32.00"/>
    <s v="$14.00"/>
    <n v="480"/>
    <n v="210"/>
    <n v="270"/>
    <n v="0.5625"/>
  </r>
  <r>
    <s v="03/17/2026"/>
    <s v="2026"/>
    <s v="17"/>
    <x v="6"/>
    <x v="7"/>
    <x v="0"/>
    <s v="Blue"/>
    <x v="3"/>
    <s v="India"/>
    <n v="13"/>
    <x v="3"/>
    <s v="$119.00"/>
    <s v="$67.00"/>
    <n v="1547"/>
    <n v="871"/>
    <n v="676"/>
    <n v="0.43697478991596639"/>
  </r>
  <r>
    <s v="02/24/2026"/>
    <s v="2026"/>
    <s v="24"/>
    <x v="9"/>
    <x v="2"/>
    <x v="3"/>
    <s v="Red"/>
    <x v="1"/>
    <s v="Nigeria"/>
    <n v="6"/>
    <x v="0"/>
    <s v="$32.00"/>
    <s v="$14.00"/>
    <n v="192"/>
    <n v="84"/>
    <n v="108"/>
    <n v="0.5625"/>
  </r>
  <r>
    <s v="01/19/2026"/>
    <s v="2026"/>
    <s v="19"/>
    <x v="5"/>
    <x v="0"/>
    <x v="3"/>
    <s v="Brown"/>
    <x v="2"/>
    <s v="USA"/>
    <n v="6"/>
    <x v="3"/>
    <s v="$89.00"/>
    <s v="$47.00"/>
    <n v="534"/>
    <n v="282"/>
    <n v="252"/>
    <n v="0.47191011235955055"/>
  </r>
  <r>
    <s v="06/16/2026"/>
    <s v="2026"/>
    <s v="16"/>
    <x v="1"/>
    <x v="3"/>
    <x v="0"/>
    <s v="Red"/>
    <x v="1"/>
    <s v="Cyprus"/>
    <n v="10"/>
    <x v="1"/>
    <s v="$76.00"/>
    <s v="$39.00"/>
    <n v="760"/>
    <n v="390"/>
    <n v="370"/>
    <n v="0.48684210526315791"/>
  </r>
  <r>
    <s v="06/17/2026"/>
    <s v="2026"/>
    <s v="17"/>
    <x v="1"/>
    <x v="2"/>
    <x v="3"/>
    <s v="Green"/>
    <x v="1"/>
    <s v="Germany"/>
    <n v="4"/>
    <x v="3"/>
    <s v="$32.00"/>
    <s v="$14.00"/>
    <n v="128"/>
    <n v="56"/>
    <n v="72"/>
    <n v="0.5625"/>
  </r>
  <r>
    <s v="07/24/2026"/>
    <s v="2026"/>
    <s v="24"/>
    <x v="8"/>
    <x v="2"/>
    <x v="3"/>
    <s v="Brown"/>
    <x v="0"/>
    <s v="Albania"/>
    <n v="7"/>
    <x v="3"/>
    <s v="$32.00"/>
    <s v="$14.00"/>
    <n v="224"/>
    <n v="98"/>
    <n v="126"/>
    <n v="0.5625"/>
  </r>
  <r>
    <s v="05/27/2026"/>
    <s v="2026"/>
    <s v="27"/>
    <x v="0"/>
    <x v="5"/>
    <x v="3"/>
    <s v="Blue"/>
    <x v="1"/>
    <s v="USA"/>
    <n v="10"/>
    <x v="1"/>
    <s v="$105.00"/>
    <s v="$58.00"/>
    <n v="1050"/>
    <n v="580"/>
    <n v="470"/>
    <n v="0.44761904761904764"/>
  </r>
  <r>
    <s v="02/13/2026"/>
    <s v="2026"/>
    <s v="13"/>
    <x v="9"/>
    <x v="2"/>
    <x v="0"/>
    <s v="Red"/>
    <x v="2"/>
    <s v="UK"/>
    <n v="10"/>
    <x v="1"/>
    <s v="$32.00"/>
    <s v="$14.00"/>
    <n v="320"/>
    <n v="140"/>
    <n v="180"/>
    <n v="0.5625"/>
  </r>
  <r>
    <s v="01/31/2026"/>
    <s v="2026"/>
    <s v="31"/>
    <x v="5"/>
    <x v="1"/>
    <x v="0"/>
    <s v="Brown"/>
    <x v="1"/>
    <s v="Nigeria"/>
    <n v="15"/>
    <x v="3"/>
    <s v="$54.00"/>
    <s v="$28.00"/>
    <n v="810"/>
    <n v="420"/>
    <n v="390"/>
    <n v="0.48148148148148145"/>
  </r>
  <r>
    <s v="04/19/2026"/>
    <s v="2026"/>
    <s v="19"/>
    <x v="3"/>
    <x v="1"/>
    <x v="3"/>
    <s v="Green"/>
    <x v="3"/>
    <s v="Canada"/>
    <n v="1"/>
    <x v="1"/>
    <s v="$54.00"/>
    <s v="$28.00"/>
    <n v="54"/>
    <n v="28"/>
    <n v="26"/>
    <n v="0.48148148148148145"/>
  </r>
  <r>
    <s v="03/24/2026"/>
    <s v="2026"/>
    <s v="24"/>
    <x v="6"/>
    <x v="4"/>
    <x v="3"/>
    <s v="Black"/>
    <x v="2"/>
    <s v="Uganda"/>
    <n v="2"/>
    <x v="2"/>
    <s v="$128.00"/>
    <s v="$72.00"/>
    <n v="256"/>
    <n v="144"/>
    <n v="112"/>
    <n v="0.4375"/>
  </r>
  <r>
    <d v="2026-01-08T00:00:00"/>
    <s v="6030"/>
    <s v="30"/>
    <x v="7"/>
    <x v="5"/>
    <x v="3"/>
    <s v="Blue"/>
    <x v="3"/>
    <s v="Zimbabwe"/>
    <n v="12"/>
    <x v="2"/>
    <s v="$105.00"/>
    <s v="$58.00"/>
    <n v="1260"/>
    <n v="696"/>
    <n v="564"/>
    <n v="0.44761904761904764"/>
  </r>
  <r>
    <d v="2026-05-06T00:00:00"/>
    <s v="6148"/>
    <s v="48"/>
    <x v="2"/>
    <x v="1"/>
    <x v="0"/>
    <s v="Brown"/>
    <x v="0"/>
    <s v="Cyprus"/>
    <n v="15"/>
    <x v="0"/>
    <s v="$54.00"/>
    <s v="$28.00"/>
    <n v="810"/>
    <n v="420"/>
    <n v="390"/>
    <n v="0.48148148148148145"/>
  </r>
  <r>
    <s v="06/17/2026"/>
    <s v="2026"/>
    <s v="17"/>
    <x v="1"/>
    <x v="2"/>
    <x v="0"/>
    <s v="Blue"/>
    <x v="2"/>
    <s v="Cyprus"/>
    <n v="13"/>
    <x v="3"/>
    <s v="$32.00"/>
    <s v="$14.00"/>
    <n v="416"/>
    <n v="182"/>
    <n v="234"/>
    <n v="0.5625"/>
  </r>
  <r>
    <s v="03/29/2026"/>
    <s v="2026"/>
    <s v="29"/>
    <x v="6"/>
    <x v="7"/>
    <x v="3"/>
    <s v="Green"/>
    <x v="1"/>
    <s v="Uganda"/>
    <n v="3"/>
    <x v="2"/>
    <s v="$119.00"/>
    <s v="$67.00"/>
    <n v="357"/>
    <n v="201"/>
    <n v="156"/>
    <n v="0.43697478991596639"/>
  </r>
  <r>
    <d v="2026-05-07T00:00:00"/>
    <s v="6149"/>
    <s v="49"/>
    <x v="2"/>
    <x v="0"/>
    <x v="0"/>
    <s v="Blue"/>
    <x v="2"/>
    <s v="Albania"/>
    <n v="3"/>
    <x v="2"/>
    <s v="$89.00"/>
    <s v="$47.00"/>
    <n v="267"/>
    <n v="141"/>
    <n v="126"/>
    <n v="0.47191011235955055"/>
  </r>
  <r>
    <s v="03/16/2026"/>
    <s v="2026"/>
    <s v="16"/>
    <x v="6"/>
    <x v="7"/>
    <x v="0"/>
    <s v="Red"/>
    <x v="1"/>
    <s v="Ghana"/>
    <n v="12"/>
    <x v="3"/>
    <s v="$119.00"/>
    <s v="$67.00"/>
    <n v="1428"/>
    <n v="804"/>
    <n v="624"/>
    <n v="0.43697478991596639"/>
  </r>
  <r>
    <s v="06/26/2026"/>
    <s v="2026"/>
    <s v="26"/>
    <x v="1"/>
    <x v="4"/>
    <x v="0"/>
    <s v="Blue"/>
    <x v="3"/>
    <s v="Nigeria"/>
    <n v="8"/>
    <x v="2"/>
    <s v="$128.00"/>
    <s v="$72.00"/>
    <n v="1024"/>
    <n v="576"/>
    <n v="448"/>
    <n v="0.4375"/>
  </r>
  <r>
    <s v="03/30/2026"/>
    <s v="2026"/>
    <s v="30"/>
    <x v="6"/>
    <x v="6"/>
    <x v="3"/>
    <s v="Blue"/>
    <x v="2"/>
    <s v="Albania"/>
    <n v="4"/>
    <x v="0"/>
    <s v="$112.00"/>
    <s v="$64.00"/>
    <n v="448"/>
    <n v="256"/>
    <n v="192"/>
    <n v="0.42857142857142855"/>
  </r>
  <r>
    <s v="03/13/2026"/>
    <s v="2026"/>
    <s v="13"/>
    <x v="6"/>
    <x v="2"/>
    <x v="2"/>
    <s v="Green"/>
    <x v="1"/>
    <s v="India"/>
    <n v="9"/>
    <x v="1"/>
    <s v="$32.00"/>
    <s v="$14.00"/>
    <n v="288"/>
    <n v="126"/>
    <n v="162"/>
    <n v="0.5625"/>
  </r>
  <r>
    <d v="2026-09-01T00:00:00"/>
    <s v="6266"/>
    <s v="66"/>
    <x v="4"/>
    <x v="4"/>
    <x v="0"/>
    <s v="Black"/>
    <x v="1"/>
    <s v="Nigeria"/>
    <n v="7"/>
    <x v="2"/>
    <s v="$128.00"/>
    <s v="$72.00"/>
    <n v="896"/>
    <n v="504"/>
    <n v="392"/>
    <n v="0.4375"/>
  </r>
  <r>
    <d v="2026-01-06T00:00:00"/>
    <s v="6028"/>
    <s v="28"/>
    <x v="7"/>
    <x v="4"/>
    <x v="0"/>
    <s v="Brown"/>
    <x v="1"/>
    <s v="Ghana"/>
    <n v="8"/>
    <x v="0"/>
    <s v="$128.00"/>
    <s v="$72.00"/>
    <n v="1024"/>
    <n v="576"/>
    <n v="448"/>
    <n v="0.4375"/>
  </r>
  <r>
    <s v="05/26/2026"/>
    <s v="2026"/>
    <s v="26"/>
    <x v="0"/>
    <x v="6"/>
    <x v="0"/>
    <s v="Brown"/>
    <x v="1"/>
    <s v="Kenya"/>
    <n v="6"/>
    <x v="0"/>
    <s v="$112.00"/>
    <s v="$64.00"/>
    <n v="672"/>
    <n v="384"/>
    <n v="288"/>
    <n v="0.42857142857142855"/>
  </r>
  <r>
    <d v="2026-06-02T00:00:00"/>
    <s v="6175"/>
    <s v="75"/>
    <x v="4"/>
    <x v="4"/>
    <x v="0"/>
    <s v="Black"/>
    <x v="1"/>
    <s v="Canada"/>
    <n v="3"/>
    <x v="0"/>
    <s v="$128.00"/>
    <s v="$72.00"/>
    <n v="384"/>
    <n v="216"/>
    <n v="168"/>
    <n v="0.4375"/>
  </r>
  <r>
    <d v="2026-07-03T00:00:00"/>
    <s v="6206"/>
    <s v="06"/>
    <x v="7"/>
    <x v="5"/>
    <x v="1"/>
    <s v="Red"/>
    <x v="1"/>
    <s v="USA"/>
    <n v="3"/>
    <x v="2"/>
    <s v="$105.00"/>
    <s v="$58.00"/>
    <n v="315"/>
    <n v="174"/>
    <n v="141"/>
    <n v="0.44761904761904764"/>
  </r>
  <r>
    <d v="2026-10-01T00:00:00"/>
    <s v="6296"/>
    <s v="96"/>
    <x v="5"/>
    <x v="4"/>
    <x v="0"/>
    <s v="Red"/>
    <x v="1"/>
    <s v="Albania"/>
    <n v="7"/>
    <x v="0"/>
    <s v="$128.00"/>
    <s v="$72.00"/>
    <n v="896"/>
    <n v="504"/>
    <n v="392"/>
    <n v="0.4375"/>
  </r>
  <r>
    <s v="04/13/2026"/>
    <s v="2026"/>
    <s v="13"/>
    <x v="3"/>
    <x v="7"/>
    <x v="0"/>
    <s v="Blue"/>
    <x v="1"/>
    <s v="Albania"/>
    <n v="5"/>
    <x v="3"/>
    <s v="$119.00"/>
    <s v="$67.00"/>
    <n v="595"/>
    <n v="335"/>
    <n v="260"/>
    <n v="0.43697478991596639"/>
  </r>
  <r>
    <s v="01/27/2026"/>
    <s v="2026"/>
    <s v="27"/>
    <x v="5"/>
    <x v="7"/>
    <x v="2"/>
    <s v="Red"/>
    <x v="1"/>
    <s v="Germany"/>
    <n v="3"/>
    <x v="1"/>
    <s v="$119.00"/>
    <s v="$67.00"/>
    <n v="357"/>
    <n v="201"/>
    <n v="156"/>
    <n v="0.43697478991596639"/>
  </r>
  <r>
    <s v="04/26/2026"/>
    <s v="2026"/>
    <s v="26"/>
    <x v="3"/>
    <x v="5"/>
    <x v="3"/>
    <s v="Red"/>
    <x v="1"/>
    <s v="Uganda"/>
    <n v="12"/>
    <x v="1"/>
    <s v="$105.00"/>
    <s v="$58.00"/>
    <n v="1260"/>
    <n v="696"/>
    <n v="564"/>
    <n v="0.44761904761904764"/>
  </r>
  <r>
    <s v="06/20/2026"/>
    <s v="2026"/>
    <s v="20"/>
    <x v="1"/>
    <x v="2"/>
    <x v="0"/>
    <s v="Blue"/>
    <x v="1"/>
    <s v="UK"/>
    <n v="9"/>
    <x v="1"/>
    <s v="$32.00"/>
    <s v="$14.00"/>
    <n v="288"/>
    <n v="126"/>
    <n v="162"/>
    <n v="0.5625"/>
  </r>
  <r>
    <d v="2026-12-04T00:00:00"/>
    <s v="6360"/>
    <s v="60"/>
    <x v="2"/>
    <x v="7"/>
    <x v="0"/>
    <s v="Red"/>
    <x v="1"/>
    <s v="Australia"/>
    <n v="3"/>
    <x v="3"/>
    <s v="$119.00"/>
    <s v="$67.00"/>
    <n v="357"/>
    <n v="201"/>
    <n v="156"/>
    <n v="0.43697478991596639"/>
  </r>
  <r>
    <d v="2026-06-01T00:00:00"/>
    <s v="6174"/>
    <s v="74"/>
    <x v="4"/>
    <x v="5"/>
    <x v="0"/>
    <s v="Red"/>
    <x v="0"/>
    <s v="Ghana"/>
    <n v="9"/>
    <x v="0"/>
    <s v="$105.00"/>
    <s v="$58.00"/>
    <n v="945"/>
    <n v="522"/>
    <n v="423"/>
    <n v="0.44761904761904764"/>
  </r>
  <r>
    <d v="2026-09-03T00:00:00"/>
    <s v="6268"/>
    <s v="68"/>
    <x v="4"/>
    <x v="6"/>
    <x v="0"/>
    <s v="Blue"/>
    <x v="3"/>
    <s v="UK"/>
    <n v="2"/>
    <x v="1"/>
    <s v="$112.00"/>
    <s v="$64.00"/>
    <n v="224"/>
    <n v="128"/>
    <n v="96"/>
    <n v="0.42857142857142855"/>
  </r>
  <r>
    <d v="2026-09-06T00:00:00"/>
    <s v="6271"/>
    <s v="71"/>
    <x v="4"/>
    <x v="3"/>
    <x v="2"/>
    <s v="Blue"/>
    <x v="0"/>
    <s v="Zimbabwe"/>
    <n v="6"/>
    <x v="0"/>
    <s v="$76.00"/>
    <s v="$39.00"/>
    <n v="456"/>
    <n v="234"/>
    <n v="222"/>
    <n v="0.48684210526315791"/>
  </r>
  <r>
    <d v="2026-10-03T00:00:00"/>
    <s v="6298"/>
    <s v="98"/>
    <x v="5"/>
    <x v="5"/>
    <x v="0"/>
    <s v="Black"/>
    <x v="2"/>
    <s v="Kenya"/>
    <n v="14"/>
    <x v="1"/>
    <s v="$105.00"/>
    <s v="$58.00"/>
    <n v="1470"/>
    <n v="812"/>
    <n v="658"/>
    <n v="0.44761904761904764"/>
  </r>
  <r>
    <s v="01/15/2026"/>
    <s v="2026"/>
    <s v="15"/>
    <x v="5"/>
    <x v="1"/>
    <x v="0"/>
    <s v="Red"/>
    <x v="3"/>
    <s v="Zimbabwe"/>
    <n v="7"/>
    <x v="2"/>
    <s v="$54.00"/>
    <s v="$28.00"/>
    <n v="378"/>
    <n v="196"/>
    <n v="182"/>
    <n v="0.48148148148148145"/>
  </r>
  <r>
    <s v="02/20/2026"/>
    <s v="2026"/>
    <s v="20"/>
    <x v="9"/>
    <x v="3"/>
    <x v="3"/>
    <s v="Red"/>
    <x v="3"/>
    <s v="Albania"/>
    <n v="8"/>
    <x v="3"/>
    <s v="$76.00"/>
    <s v="$39.00"/>
    <n v="608"/>
    <n v="312"/>
    <n v="296"/>
    <n v="0.48684210526315791"/>
  </r>
  <r>
    <d v="2026-05-05T00:00:00"/>
    <s v="6147"/>
    <s v="47"/>
    <x v="2"/>
    <x v="2"/>
    <x v="2"/>
    <s v="Red"/>
    <x v="3"/>
    <s v="UK"/>
    <n v="1"/>
    <x v="3"/>
    <s v="$32.00"/>
    <s v="$14.00"/>
    <n v="32"/>
    <n v="14"/>
    <n v="18"/>
    <n v="0.5625"/>
  </r>
  <r>
    <s v="02/15/2026"/>
    <s v="2026"/>
    <s v="15"/>
    <x v="9"/>
    <x v="1"/>
    <x v="0"/>
    <s v="Red"/>
    <x v="1"/>
    <s v="India"/>
    <n v="9"/>
    <x v="0"/>
    <s v="$54.00"/>
    <s v="$28.00"/>
    <n v="486"/>
    <n v="252"/>
    <n v="234"/>
    <n v="0.48148148148148145"/>
  </r>
  <r>
    <s v="05/21/2026"/>
    <s v="2026"/>
    <s v="21"/>
    <x v="0"/>
    <x v="2"/>
    <x v="2"/>
    <s v="Red"/>
    <x v="3"/>
    <s v="India"/>
    <n v="1"/>
    <x v="2"/>
    <s v="$32.00"/>
    <s v="$14.00"/>
    <n v="32"/>
    <n v="14"/>
    <n v="18"/>
    <n v="0.5625"/>
  </r>
  <r>
    <d v="2026-02-08T00:00:00"/>
    <s v="6061"/>
    <s v="61"/>
    <x v="2"/>
    <x v="1"/>
    <x v="0"/>
    <s v="Red"/>
    <x v="0"/>
    <s v="Cyprus"/>
    <n v="14"/>
    <x v="2"/>
    <s v="$54.00"/>
    <s v="$28.00"/>
    <n v="756"/>
    <n v="392"/>
    <n v="364"/>
    <n v="0.48148148148148145"/>
  </r>
  <r>
    <d v="2026-02-06T00:00:00"/>
    <s v="6059"/>
    <s v="59"/>
    <x v="2"/>
    <x v="7"/>
    <x v="2"/>
    <s v="Brown"/>
    <x v="2"/>
    <s v="Ghana"/>
    <n v="7"/>
    <x v="1"/>
    <s v="$119.00"/>
    <s v="$67.00"/>
    <n v="833"/>
    <n v="469"/>
    <n v="364"/>
    <n v="0.43697478991596639"/>
  </r>
  <r>
    <s v="02/23/2026"/>
    <s v="2026"/>
    <s v="23"/>
    <x v="9"/>
    <x v="3"/>
    <x v="1"/>
    <s v="Black"/>
    <x v="1"/>
    <s v="Canada"/>
    <n v="6"/>
    <x v="0"/>
    <s v="$76.00"/>
    <s v="$39.00"/>
    <n v="456"/>
    <n v="234"/>
    <n v="222"/>
    <n v="0.48684210526315791"/>
  </r>
  <r>
    <d v="2026-04-06T00:00:00"/>
    <s v="6118"/>
    <s v="18"/>
    <x v="7"/>
    <x v="1"/>
    <x v="3"/>
    <s v="Red"/>
    <x v="1"/>
    <s v="Philippines"/>
    <n v="6"/>
    <x v="1"/>
    <s v="$54.00"/>
    <s v="$28.00"/>
    <n v="324"/>
    <n v="168"/>
    <n v="156"/>
    <n v="0.48148148148148145"/>
  </r>
  <r>
    <s v="05/19/2026"/>
    <s v="2026"/>
    <s v="19"/>
    <x v="0"/>
    <x v="5"/>
    <x v="2"/>
    <s v="Red"/>
    <x v="1"/>
    <s v="Philippines"/>
    <n v="4"/>
    <x v="0"/>
    <s v="$105.00"/>
    <s v="$58.00"/>
    <n v="420"/>
    <n v="232"/>
    <n v="188"/>
    <n v="0.44761904761904764"/>
  </r>
  <r>
    <s v="06/27/2026"/>
    <s v="2026"/>
    <s v="27"/>
    <x v="1"/>
    <x v="0"/>
    <x v="1"/>
    <s v="Blue"/>
    <x v="4"/>
    <s v="India"/>
    <n v="12"/>
    <x v="2"/>
    <s v="$89.00"/>
    <s v="$47.00"/>
    <n v="1068"/>
    <n v="564"/>
    <n v="504"/>
    <n v="0.47191011235955055"/>
  </r>
  <r>
    <d v="2026-03-01T00:00:00"/>
    <s v="6082"/>
    <s v="82"/>
    <x v="4"/>
    <x v="3"/>
    <x v="0"/>
    <s v="Blue"/>
    <x v="1"/>
    <s v="USA"/>
    <n v="13"/>
    <x v="1"/>
    <s v="$76.00"/>
    <s v="$39.00"/>
    <n v="988"/>
    <n v="507"/>
    <n v="481"/>
    <n v="0.48684210526315791"/>
  </r>
  <r>
    <d v="2026-02-06T00:00:00"/>
    <s v="6059"/>
    <s v="59"/>
    <x v="2"/>
    <x v="1"/>
    <x v="0"/>
    <s v="Red"/>
    <x v="3"/>
    <s v="India"/>
    <n v="6"/>
    <x v="2"/>
    <s v="$54.00"/>
    <s v="$28.00"/>
    <n v="324"/>
    <n v="168"/>
    <n v="156"/>
    <n v="0.48148148148148145"/>
  </r>
  <r>
    <s v="04/15/2026"/>
    <s v="2026"/>
    <s v="15"/>
    <x v="3"/>
    <x v="6"/>
    <x v="0"/>
    <s v="Green"/>
    <x v="0"/>
    <s v="Kenya"/>
    <n v="13"/>
    <x v="1"/>
    <s v="$112.00"/>
    <s v="$64.00"/>
    <n v="1456"/>
    <n v="832"/>
    <n v="624"/>
    <n v="0.42857142857142855"/>
  </r>
  <r>
    <d v="2026-08-04T00:00:00"/>
    <s v="6238"/>
    <s v="38"/>
    <x v="2"/>
    <x v="0"/>
    <x v="0"/>
    <s v="Blue"/>
    <x v="0"/>
    <s v="Cyprus"/>
    <n v="5"/>
    <x v="2"/>
    <s v="$89.00"/>
    <s v="$47.00"/>
    <n v="445"/>
    <n v="235"/>
    <n v="210"/>
    <n v="0.47191011235955055"/>
  </r>
  <r>
    <d v="2026-07-05T00:00:00"/>
    <s v="6208"/>
    <s v="08"/>
    <x v="7"/>
    <x v="1"/>
    <x v="2"/>
    <s v="Brown"/>
    <x v="3"/>
    <s v="Nigeria"/>
    <n v="2"/>
    <x v="1"/>
    <s v="$54.00"/>
    <s v="$28.00"/>
    <n v="108"/>
    <n v="56"/>
    <n v="52"/>
    <n v="0.48148148148148145"/>
  </r>
  <r>
    <s v="05/29/2026"/>
    <s v="2026"/>
    <s v="29"/>
    <x v="0"/>
    <x v="6"/>
    <x v="3"/>
    <s v="Red"/>
    <x v="2"/>
    <s v="Cyprus"/>
    <n v="7"/>
    <x v="1"/>
    <s v="$112.00"/>
    <s v="$64.00"/>
    <n v="784"/>
    <n v="448"/>
    <n v="336"/>
    <n v="0.42857142857142855"/>
  </r>
  <r>
    <s v="03/31/2026"/>
    <s v="2026"/>
    <s v="31"/>
    <x v="6"/>
    <x v="0"/>
    <x v="2"/>
    <s v="Blue"/>
    <x v="0"/>
    <s v="India"/>
    <n v="9"/>
    <x v="2"/>
    <s v="$89.00"/>
    <s v="$47.00"/>
    <n v="801"/>
    <n v="423"/>
    <n v="378"/>
    <n v="0.47191011235955055"/>
  </r>
  <r>
    <d v="2026-02-05T00:00:00"/>
    <s v="6058"/>
    <s v="58"/>
    <x v="2"/>
    <x v="0"/>
    <x v="0"/>
    <s v="Green"/>
    <x v="3"/>
    <s v="Uganda"/>
    <n v="6"/>
    <x v="0"/>
    <s v="$89.00"/>
    <s v="$47.00"/>
    <n v="534"/>
    <n v="282"/>
    <n v="252"/>
    <n v="0.47191011235955055"/>
  </r>
  <r>
    <s v="04/30/2026"/>
    <s v="2026"/>
    <s v="30"/>
    <x v="3"/>
    <x v="6"/>
    <x v="3"/>
    <s v="Black"/>
    <x v="2"/>
    <s v="Kenya"/>
    <n v="10"/>
    <x v="3"/>
    <s v="$112.00"/>
    <s v="$64.00"/>
    <n v="1120"/>
    <n v="640"/>
    <n v="480"/>
    <n v="0.42857142857142855"/>
  </r>
  <r>
    <s v="07/18/2026"/>
    <s v="2026"/>
    <s v="18"/>
    <x v="8"/>
    <x v="2"/>
    <x v="3"/>
    <s v="Brown"/>
    <x v="2"/>
    <s v="Albania"/>
    <n v="1"/>
    <x v="1"/>
    <s v="$32.00"/>
    <s v="$14.00"/>
    <n v="32"/>
    <n v="14"/>
    <n v="18"/>
    <n v="0.5625"/>
  </r>
  <r>
    <d v="2026-10-05T00:00:00"/>
    <s v="6300"/>
    <s v="00"/>
    <x v="11"/>
    <x v="5"/>
    <x v="2"/>
    <s v="Brown"/>
    <x v="3"/>
    <s v="Uganda"/>
    <n v="13"/>
    <x v="2"/>
    <s v="$105.00"/>
    <s v="$58.00"/>
    <n v="1365"/>
    <n v="754"/>
    <n v="611"/>
    <n v="0.44761904761904764"/>
  </r>
  <r>
    <s v="02/17/2026"/>
    <s v="2026"/>
    <s v="17"/>
    <x v="9"/>
    <x v="1"/>
    <x v="0"/>
    <s v="Brown"/>
    <x v="1"/>
    <s v="Ghana"/>
    <n v="9"/>
    <x v="2"/>
    <s v="$54.00"/>
    <s v="$28.00"/>
    <n v="486"/>
    <n v="252"/>
    <n v="234"/>
    <n v="0.48148148148148145"/>
  </r>
  <r>
    <d v="2026-05-06T00:00:00"/>
    <s v="6148"/>
    <s v="48"/>
    <x v="2"/>
    <x v="7"/>
    <x v="2"/>
    <s v="Green"/>
    <x v="1"/>
    <s v="Canada"/>
    <n v="15"/>
    <x v="2"/>
    <s v="$119.00"/>
    <s v="$67.00"/>
    <n v="1785"/>
    <n v="1005"/>
    <n v="780"/>
    <n v="0.43697478991596639"/>
  </r>
  <r>
    <s v="01/25/2026"/>
    <s v="2026"/>
    <s v="25"/>
    <x v="5"/>
    <x v="4"/>
    <x v="3"/>
    <s v="Red"/>
    <x v="3"/>
    <s v="Ghana"/>
    <n v="14"/>
    <x v="1"/>
    <s v="$128.00"/>
    <s v="$72.00"/>
    <n v="1792"/>
    <n v="1008"/>
    <n v="784"/>
    <n v="0.4375"/>
  </r>
  <r>
    <d v="2026-09-05T00:00:00"/>
    <s v="6270"/>
    <s v="70"/>
    <x v="4"/>
    <x v="0"/>
    <x v="3"/>
    <s v="Blue"/>
    <x v="1"/>
    <s v="USA"/>
    <n v="15"/>
    <x v="1"/>
    <s v="$89.00"/>
    <s v="$47.00"/>
    <n v="1335"/>
    <n v="705"/>
    <n v="630"/>
    <n v="0.47191011235955055"/>
  </r>
  <r>
    <s v="03/22/2026"/>
    <s v="2026"/>
    <s v="22"/>
    <x v="6"/>
    <x v="5"/>
    <x v="0"/>
    <s v="Green"/>
    <x v="1"/>
    <s v="USA"/>
    <n v="14"/>
    <x v="1"/>
    <s v="$105.00"/>
    <s v="$58.00"/>
    <n v="1470"/>
    <n v="812"/>
    <n v="658"/>
    <n v="0.44761904761904764"/>
  </r>
  <r>
    <s v="06/19/2026"/>
    <s v="2026"/>
    <s v="19"/>
    <x v="1"/>
    <x v="7"/>
    <x v="2"/>
    <s v="Blue"/>
    <x v="1"/>
    <s v="Albania"/>
    <n v="6"/>
    <x v="2"/>
    <s v="$119.00"/>
    <s v="$67.00"/>
    <n v="714"/>
    <n v="402"/>
    <n v="312"/>
    <n v="0.43697478991596639"/>
  </r>
  <r>
    <s v="01/15/2026"/>
    <s v="2026"/>
    <s v="15"/>
    <x v="5"/>
    <x v="1"/>
    <x v="1"/>
    <s v="Red"/>
    <x v="0"/>
    <s v="UK"/>
    <n v="15"/>
    <x v="3"/>
    <s v="$54.00"/>
    <s v="$28.00"/>
    <n v="810"/>
    <n v="420"/>
    <n v="390"/>
    <n v="0.48148148148148145"/>
  </r>
  <r>
    <d v="2026-08-03T00:00:00"/>
    <s v="6237"/>
    <s v="37"/>
    <x v="2"/>
    <x v="3"/>
    <x v="3"/>
    <s v="Black"/>
    <x v="4"/>
    <s v="Albania"/>
    <n v="6"/>
    <x v="0"/>
    <s v="$76.00"/>
    <s v="$39.00"/>
    <n v="456"/>
    <n v="234"/>
    <n v="222"/>
    <n v="0.48684210526315791"/>
  </r>
  <r>
    <s v="03/15/2026"/>
    <s v="2026"/>
    <s v="15"/>
    <x v="6"/>
    <x v="4"/>
    <x v="2"/>
    <s v="Brown"/>
    <x v="3"/>
    <s v="USA"/>
    <n v="10"/>
    <x v="0"/>
    <s v="$128.00"/>
    <s v="$72.00"/>
    <n v="1280"/>
    <n v="720"/>
    <n v="560"/>
    <n v="0.4375"/>
  </r>
  <r>
    <d v="2026-12-04T00:00:00"/>
    <s v="6360"/>
    <s v="60"/>
    <x v="2"/>
    <x v="5"/>
    <x v="2"/>
    <s v="Blue"/>
    <x v="1"/>
    <s v="Germany"/>
    <n v="4"/>
    <x v="1"/>
    <s v="$105.00"/>
    <s v="$58.00"/>
    <n v="420"/>
    <n v="232"/>
    <n v="188"/>
    <n v="0.44761904761904764"/>
  </r>
  <r>
    <s v="06/15/2026"/>
    <s v="2026"/>
    <s v="15"/>
    <x v="1"/>
    <x v="1"/>
    <x v="0"/>
    <s v="Blue"/>
    <x v="3"/>
    <s v="Germany"/>
    <n v="11"/>
    <x v="3"/>
    <s v="$54.00"/>
    <s v="$28.00"/>
    <n v="594"/>
    <n v="308"/>
    <n v="286"/>
    <n v="0.48148148148148145"/>
  </r>
  <r>
    <d v="2026-11-07T00:00:00"/>
    <s v="6333"/>
    <s v="33"/>
    <x v="2"/>
    <x v="0"/>
    <x v="2"/>
    <s v="Brown"/>
    <x v="3"/>
    <s v="Zimbabwe"/>
    <n v="4"/>
    <x v="0"/>
    <s v="$89.00"/>
    <s v="$47.00"/>
    <n v="356"/>
    <n v="188"/>
    <n v="168"/>
    <n v="0.47191011235955055"/>
  </r>
  <r>
    <s v="07/13/2026"/>
    <s v="2026"/>
    <s v="13"/>
    <x v="8"/>
    <x v="6"/>
    <x v="2"/>
    <s v="Blue"/>
    <x v="0"/>
    <s v="Germany"/>
    <n v="10"/>
    <x v="2"/>
    <s v="$112.00"/>
    <s v="$64.00"/>
    <n v="1120"/>
    <n v="640"/>
    <n v="480"/>
    <n v="0.42857142857142855"/>
  </r>
  <r>
    <s v="03/28/2026"/>
    <s v="2026"/>
    <s v="28"/>
    <x v="6"/>
    <x v="2"/>
    <x v="0"/>
    <s v="Black"/>
    <x v="4"/>
    <s v="Germany"/>
    <n v="3"/>
    <x v="2"/>
    <s v="$32.00"/>
    <s v="$14.00"/>
    <n v="96"/>
    <n v="42"/>
    <n v="54"/>
    <n v="0.5625"/>
  </r>
  <r>
    <s v="01/25/2026"/>
    <s v="2026"/>
    <s v="25"/>
    <x v="5"/>
    <x v="2"/>
    <x v="0"/>
    <s v="Black"/>
    <x v="1"/>
    <s v="Ghana"/>
    <n v="5"/>
    <x v="2"/>
    <s v="$32.00"/>
    <s v="$14.00"/>
    <n v="160"/>
    <n v="70"/>
    <n v="90"/>
    <n v="0.5625"/>
  </r>
  <r>
    <s v="04/16/2026"/>
    <s v="2026"/>
    <s v="16"/>
    <x v="3"/>
    <x v="0"/>
    <x v="0"/>
    <s v="Black"/>
    <x v="0"/>
    <s v="Zimbabwe"/>
    <n v="10"/>
    <x v="3"/>
    <s v="$89.00"/>
    <s v="$47.00"/>
    <n v="890"/>
    <n v="470"/>
    <n v="420"/>
    <n v="0.47191011235955055"/>
  </r>
  <r>
    <s v="01/19/2026"/>
    <s v="2026"/>
    <s v="19"/>
    <x v="5"/>
    <x v="0"/>
    <x v="0"/>
    <s v="Green"/>
    <x v="1"/>
    <s v="Albania"/>
    <n v="5"/>
    <x v="3"/>
    <s v="$89.00"/>
    <s v="$47.00"/>
    <n v="445"/>
    <n v="235"/>
    <n v="210"/>
    <n v="0.47191011235955055"/>
  </r>
  <r>
    <s v="04/30/2026"/>
    <s v="2026"/>
    <s v="30"/>
    <x v="3"/>
    <x v="4"/>
    <x v="2"/>
    <s v="Green"/>
    <x v="1"/>
    <s v="India"/>
    <n v="7"/>
    <x v="0"/>
    <s v="$128.00"/>
    <s v="$72.00"/>
    <n v="896"/>
    <n v="504"/>
    <n v="392"/>
    <n v="0.4375"/>
  </r>
  <r>
    <s v="05/25/2026"/>
    <s v="2026"/>
    <s v="25"/>
    <x v="0"/>
    <x v="0"/>
    <x v="0"/>
    <s v="Black"/>
    <x v="0"/>
    <s v="USA"/>
    <n v="5"/>
    <x v="2"/>
    <s v="$89.00"/>
    <s v="$47.00"/>
    <n v="445"/>
    <n v="235"/>
    <n v="210"/>
    <n v="0.47191011235955055"/>
  </r>
  <r>
    <s v="01/20/2026"/>
    <s v="2026"/>
    <s v="20"/>
    <x v="5"/>
    <x v="2"/>
    <x v="2"/>
    <s v="Green"/>
    <x v="1"/>
    <s v="Kenya"/>
    <n v="4"/>
    <x v="2"/>
    <s v="$32.00"/>
    <s v="$14.00"/>
    <n v="128"/>
    <n v="56"/>
    <n v="72"/>
    <n v="0.5625"/>
  </r>
  <r>
    <s v="05/31/2026"/>
    <s v="2026"/>
    <s v="31"/>
    <x v="0"/>
    <x v="1"/>
    <x v="0"/>
    <s v="Red"/>
    <x v="1"/>
    <s v="Philippines"/>
    <n v="10"/>
    <x v="0"/>
    <s v="$54.00"/>
    <s v="$28.00"/>
    <n v="540"/>
    <n v="280"/>
    <n v="260"/>
    <n v="0.48148148148148145"/>
  </r>
  <r>
    <d v="2026-08-01T00:00:00"/>
    <s v="6235"/>
    <s v="35"/>
    <x v="2"/>
    <x v="2"/>
    <x v="2"/>
    <s v="Green"/>
    <x v="1"/>
    <s v="Zimbabwe"/>
    <n v="12"/>
    <x v="1"/>
    <s v="$32.00"/>
    <s v="$14.00"/>
    <n v="384"/>
    <n v="168"/>
    <n v="216"/>
    <n v="0.5625"/>
  </r>
  <r>
    <s v="05/15/2026"/>
    <s v="2026"/>
    <s v="15"/>
    <x v="0"/>
    <x v="4"/>
    <x v="0"/>
    <s v="Red"/>
    <x v="1"/>
    <s v="USA"/>
    <n v="8"/>
    <x v="0"/>
    <s v="$128.00"/>
    <s v="$72.00"/>
    <n v="1024"/>
    <n v="576"/>
    <n v="448"/>
    <n v="0.4375"/>
  </r>
  <r>
    <s v="01/13/2026"/>
    <s v="2026"/>
    <s v="13"/>
    <x v="5"/>
    <x v="5"/>
    <x v="0"/>
    <s v="Brown"/>
    <x v="2"/>
    <s v="Uganda"/>
    <n v="4"/>
    <x v="3"/>
    <s v="$105.00"/>
    <s v="$58.00"/>
    <n v="420"/>
    <n v="232"/>
    <n v="188"/>
    <n v="0.44761904761904764"/>
  </r>
  <r>
    <s v="03/28/2026"/>
    <s v="2026"/>
    <s v="28"/>
    <x v="6"/>
    <x v="4"/>
    <x v="3"/>
    <s v="Green"/>
    <x v="1"/>
    <s v="Philippines"/>
    <n v="13"/>
    <x v="0"/>
    <s v="$128.00"/>
    <s v="$72.00"/>
    <n v="1664"/>
    <n v="936"/>
    <n v="728"/>
    <n v="0.4375"/>
  </r>
  <r>
    <s v="07/16/2026"/>
    <s v="2026"/>
    <s v="16"/>
    <x v="8"/>
    <x v="3"/>
    <x v="0"/>
    <s v="Brown"/>
    <x v="4"/>
    <s v="Philippines"/>
    <n v="14"/>
    <x v="1"/>
    <s v="$76.00"/>
    <s v="$39.00"/>
    <n v="1064"/>
    <n v="546"/>
    <n v="518"/>
    <n v="0.48684210526315791"/>
  </r>
  <r>
    <s v="01/20/2026"/>
    <s v="2026"/>
    <s v="20"/>
    <x v="5"/>
    <x v="3"/>
    <x v="1"/>
    <s v="Green"/>
    <x v="2"/>
    <s v="Canada"/>
    <n v="1"/>
    <x v="2"/>
    <s v="$76.00"/>
    <s v="$39.00"/>
    <n v="76"/>
    <n v="39"/>
    <n v="37"/>
    <n v="0.48684210526315791"/>
  </r>
  <r>
    <s v="07/24/2026"/>
    <s v="2026"/>
    <s v="24"/>
    <x v="8"/>
    <x v="6"/>
    <x v="0"/>
    <s v="Red"/>
    <x v="4"/>
    <s v="India"/>
    <n v="15"/>
    <x v="2"/>
    <s v="$112.00"/>
    <s v="$64.00"/>
    <n v="1680"/>
    <n v="960"/>
    <n v="720"/>
    <n v="0.42857142857142855"/>
  </r>
  <r>
    <d v="2026-07-06T00:00:00"/>
    <s v="6209"/>
    <s v="09"/>
    <x v="7"/>
    <x v="7"/>
    <x v="2"/>
    <s v="Green"/>
    <x v="1"/>
    <s v="Albania"/>
    <n v="13"/>
    <x v="0"/>
    <s v="$119.00"/>
    <s v="$67.00"/>
    <n v="1547"/>
    <n v="871"/>
    <n v="676"/>
    <n v="0.43697478991596639"/>
  </r>
  <r>
    <s v="01/24/2026"/>
    <s v="2026"/>
    <s v="24"/>
    <x v="5"/>
    <x v="4"/>
    <x v="0"/>
    <s v="Blue"/>
    <x v="1"/>
    <s v="Cyprus"/>
    <n v="8"/>
    <x v="0"/>
    <s v="$128.00"/>
    <s v="$72.00"/>
    <n v="1024"/>
    <n v="576"/>
    <n v="448"/>
    <n v="0.4375"/>
  </r>
  <r>
    <s v="02/25/2026"/>
    <s v="2026"/>
    <s v="25"/>
    <x v="9"/>
    <x v="3"/>
    <x v="1"/>
    <s v="Green"/>
    <x v="3"/>
    <s v="UK"/>
    <n v="8"/>
    <x v="2"/>
    <s v="$76.00"/>
    <s v="$39.00"/>
    <n v="608"/>
    <n v="312"/>
    <n v="296"/>
    <n v="0.48684210526315791"/>
  </r>
  <r>
    <s v="04/30/2026"/>
    <s v="2026"/>
    <s v="30"/>
    <x v="3"/>
    <x v="6"/>
    <x v="1"/>
    <s v="Black"/>
    <x v="0"/>
    <s v="Cyprus"/>
    <n v="10"/>
    <x v="3"/>
    <s v="$112.00"/>
    <s v="$64.00"/>
    <n v="1120"/>
    <n v="640"/>
    <n v="480"/>
    <n v="0.42857142857142855"/>
  </r>
  <r>
    <d v="2026-03-01T00:00:00"/>
    <s v="6082"/>
    <s v="82"/>
    <x v="4"/>
    <x v="1"/>
    <x v="2"/>
    <s v="Blue"/>
    <x v="1"/>
    <s v="Uganda"/>
    <n v="14"/>
    <x v="2"/>
    <s v="$54.00"/>
    <s v="$28.00"/>
    <n v="756"/>
    <n v="392"/>
    <n v="364"/>
    <n v="0.48148148148148145"/>
  </r>
  <r>
    <d v="2026-10-06T00:00:00"/>
    <s v="6301"/>
    <s v="01"/>
    <x v="7"/>
    <x v="1"/>
    <x v="3"/>
    <s v="Brown"/>
    <x v="3"/>
    <s v="Kenya"/>
    <n v="1"/>
    <x v="2"/>
    <s v="$54.00"/>
    <s v="$28.00"/>
    <n v="54"/>
    <n v="28"/>
    <n v="26"/>
    <n v="0.48148148148148145"/>
  </r>
  <r>
    <s v="02/27/2026"/>
    <s v="2026"/>
    <s v="27"/>
    <x v="9"/>
    <x v="0"/>
    <x v="2"/>
    <s v="Red"/>
    <x v="2"/>
    <s v="UK"/>
    <n v="11"/>
    <x v="1"/>
    <s v="$89.00"/>
    <s v="$47.00"/>
    <n v="979"/>
    <n v="517"/>
    <n v="462"/>
    <n v="0.47191011235955055"/>
  </r>
  <r>
    <s v="06/28/2026"/>
    <s v="2026"/>
    <s v="28"/>
    <x v="1"/>
    <x v="3"/>
    <x v="1"/>
    <s v="Blue"/>
    <x v="2"/>
    <s v="Uganda"/>
    <n v="8"/>
    <x v="1"/>
    <s v="$76.00"/>
    <s v="$39.00"/>
    <n v="608"/>
    <n v="312"/>
    <n v="296"/>
    <n v="0.48684210526315791"/>
  </r>
  <r>
    <d v="2026-05-02T00:00:00"/>
    <s v="6144"/>
    <s v="44"/>
    <x v="2"/>
    <x v="0"/>
    <x v="1"/>
    <s v="Brown"/>
    <x v="1"/>
    <s v="India"/>
    <n v="13"/>
    <x v="2"/>
    <s v="$89.00"/>
    <s v="$47.00"/>
    <n v="1157"/>
    <n v="611"/>
    <n v="546"/>
    <n v="0.47191011235955055"/>
  </r>
  <r>
    <s v="04/17/2026"/>
    <s v="2026"/>
    <s v="17"/>
    <x v="3"/>
    <x v="7"/>
    <x v="1"/>
    <s v="Red"/>
    <x v="2"/>
    <s v="UK"/>
    <n v="6"/>
    <x v="0"/>
    <s v="$119.00"/>
    <s v="$67.00"/>
    <n v="714"/>
    <n v="402"/>
    <n v="312"/>
    <n v="0.43697478991596639"/>
  </r>
  <r>
    <d v="2026-08-08T00:00:00"/>
    <s v="6242"/>
    <s v="42"/>
    <x v="2"/>
    <x v="6"/>
    <x v="3"/>
    <s v="Red"/>
    <x v="3"/>
    <s v="Uganda"/>
    <n v="8"/>
    <x v="0"/>
    <s v="$112.00"/>
    <s v="$64.00"/>
    <n v="896"/>
    <n v="512"/>
    <n v="384"/>
    <n v="0.42857142857142855"/>
  </r>
  <r>
    <d v="2026-12-01T00:00:00"/>
    <s v="6357"/>
    <s v="57"/>
    <x v="2"/>
    <x v="1"/>
    <x v="0"/>
    <s v="Blue"/>
    <x v="0"/>
    <s v="USA"/>
    <n v="13"/>
    <x v="3"/>
    <s v="$54.00"/>
    <s v="$28.00"/>
    <n v="702"/>
    <n v="364"/>
    <n v="338"/>
    <n v="0.48148148148148145"/>
  </r>
  <r>
    <s v="07/15/2026"/>
    <s v="2026"/>
    <s v="15"/>
    <x v="8"/>
    <x v="0"/>
    <x v="0"/>
    <s v="Brown"/>
    <x v="3"/>
    <s v="Australia"/>
    <n v="6"/>
    <x v="0"/>
    <s v="$89.00"/>
    <s v="$47.00"/>
    <n v="534"/>
    <n v="282"/>
    <n v="252"/>
    <n v="0.47191011235955055"/>
  </r>
  <r>
    <s v="04/14/2026"/>
    <s v="2026"/>
    <s v="14"/>
    <x v="3"/>
    <x v="5"/>
    <x v="0"/>
    <s v="Brown"/>
    <x v="0"/>
    <s v="Philippines"/>
    <n v="5"/>
    <x v="3"/>
    <s v="$105.00"/>
    <s v="$58.00"/>
    <n v="525"/>
    <n v="290"/>
    <n v="235"/>
    <n v="0.44761904761904764"/>
  </r>
  <r>
    <d v="2026-01-07T00:00:00"/>
    <s v="6029"/>
    <s v="29"/>
    <x v="7"/>
    <x v="2"/>
    <x v="3"/>
    <s v="Black"/>
    <x v="0"/>
    <s v="Zimbabwe"/>
    <n v="4"/>
    <x v="3"/>
    <s v="$32.00"/>
    <s v="$14.00"/>
    <n v="128"/>
    <n v="56"/>
    <n v="72"/>
    <n v="0.5625"/>
  </r>
  <r>
    <s v="05/17/2026"/>
    <s v="2026"/>
    <s v="17"/>
    <x v="0"/>
    <x v="0"/>
    <x v="1"/>
    <s v="Green"/>
    <x v="1"/>
    <s v="Australia"/>
    <n v="3"/>
    <x v="0"/>
    <s v="$89.00"/>
    <s v="$47.00"/>
    <n v="267"/>
    <n v="141"/>
    <n v="126"/>
    <n v="0.47191011235955055"/>
  </r>
  <r>
    <s v="04/18/2026"/>
    <s v="2026"/>
    <s v="18"/>
    <x v="3"/>
    <x v="7"/>
    <x v="0"/>
    <s v="Blue"/>
    <x v="1"/>
    <s v="USA"/>
    <n v="5"/>
    <x v="1"/>
    <s v="$119.00"/>
    <s v="$67.00"/>
    <n v="595"/>
    <n v="335"/>
    <n v="260"/>
    <n v="0.43697478991596639"/>
  </r>
  <r>
    <s v="07/21/2026"/>
    <s v="2026"/>
    <s v="21"/>
    <x v="8"/>
    <x v="2"/>
    <x v="0"/>
    <s v="Green"/>
    <x v="3"/>
    <s v="Ghana"/>
    <n v="4"/>
    <x v="1"/>
    <s v="$32.00"/>
    <s v="$14.00"/>
    <n v="128"/>
    <n v="56"/>
    <n v="72"/>
    <n v="0.5625"/>
  </r>
  <r>
    <d v="2026-08-08T00:00:00"/>
    <s v="6242"/>
    <s v="42"/>
    <x v="2"/>
    <x v="2"/>
    <x v="2"/>
    <s v="Brown"/>
    <x v="1"/>
    <s v="USA"/>
    <n v="7"/>
    <x v="1"/>
    <s v="$32.00"/>
    <s v="$14.00"/>
    <n v="224"/>
    <n v="98"/>
    <n v="126"/>
    <n v="0.5625"/>
  </r>
  <r>
    <d v="2026-02-04T00:00:00"/>
    <s v="6057"/>
    <s v="57"/>
    <x v="2"/>
    <x v="1"/>
    <x v="1"/>
    <s v="Green"/>
    <x v="1"/>
    <s v="USA"/>
    <n v="6"/>
    <x v="1"/>
    <s v="$54.00"/>
    <s v="$28.00"/>
    <n v="324"/>
    <n v="168"/>
    <n v="156"/>
    <n v="0.48148148148148145"/>
  </r>
  <r>
    <s v="07/28/2026"/>
    <s v="2026"/>
    <s v="28"/>
    <x v="8"/>
    <x v="2"/>
    <x v="0"/>
    <s v="Brown"/>
    <x v="3"/>
    <s v="Cyprus"/>
    <n v="7"/>
    <x v="2"/>
    <s v="$32.00"/>
    <s v="$14.00"/>
    <n v="224"/>
    <n v="98"/>
    <n v="126"/>
    <n v="0.5625"/>
  </r>
  <r>
    <d v="2026-06-03T00:00:00"/>
    <s v="6176"/>
    <s v="76"/>
    <x v="4"/>
    <x v="1"/>
    <x v="0"/>
    <s v="Blue"/>
    <x v="4"/>
    <s v="India"/>
    <n v="12"/>
    <x v="0"/>
    <s v="$54.00"/>
    <s v="$28.00"/>
    <n v="648"/>
    <n v="336"/>
    <n v="312"/>
    <n v="0.48148148148148145"/>
  </r>
  <r>
    <s v="07/25/2026"/>
    <s v="2026"/>
    <s v="25"/>
    <x v="8"/>
    <x v="7"/>
    <x v="2"/>
    <s v="Green"/>
    <x v="3"/>
    <s v="India"/>
    <n v="10"/>
    <x v="3"/>
    <s v="$119.00"/>
    <s v="$67.00"/>
    <n v="1190"/>
    <n v="670"/>
    <n v="520"/>
    <n v="0.43697478991596639"/>
  </r>
  <r>
    <s v="07/20/2026"/>
    <s v="2026"/>
    <s v="20"/>
    <x v="8"/>
    <x v="1"/>
    <x v="0"/>
    <s v="Brown"/>
    <x v="1"/>
    <s v="UK"/>
    <n v="6"/>
    <x v="1"/>
    <s v="$54.00"/>
    <s v="$28.00"/>
    <n v="324"/>
    <n v="168"/>
    <n v="156"/>
    <n v="0.48148148148148145"/>
  </r>
  <r>
    <s v="03/25/2026"/>
    <s v="2026"/>
    <s v="25"/>
    <x v="6"/>
    <x v="2"/>
    <x v="0"/>
    <s v="Blue"/>
    <x v="2"/>
    <s v="UK"/>
    <n v="15"/>
    <x v="2"/>
    <s v="$32.00"/>
    <s v="$14.00"/>
    <n v="480"/>
    <n v="210"/>
    <n v="270"/>
    <n v="0.5625"/>
  </r>
  <r>
    <s v="01/28/2026"/>
    <s v="2026"/>
    <s v="28"/>
    <x v="5"/>
    <x v="4"/>
    <x v="0"/>
    <s v="Red"/>
    <x v="4"/>
    <s v="Zimbabwe"/>
    <n v="3"/>
    <x v="3"/>
    <s v="$128.00"/>
    <s v="$72.00"/>
    <n v="384"/>
    <n v="216"/>
    <n v="168"/>
    <n v="0.4375"/>
  </r>
  <r>
    <d v="2026-05-04T00:00:00"/>
    <s v="6146"/>
    <s v="46"/>
    <x v="2"/>
    <x v="7"/>
    <x v="2"/>
    <s v="Black"/>
    <x v="2"/>
    <s v="Canada"/>
    <n v="1"/>
    <x v="1"/>
    <s v="$119.00"/>
    <s v="$67.00"/>
    <n v="119"/>
    <n v="67"/>
    <n v="52"/>
    <n v="0.43697478991596639"/>
  </r>
  <r>
    <d v="2026-12-08T00:00:00"/>
    <s v="6364"/>
    <s v="64"/>
    <x v="4"/>
    <x v="4"/>
    <x v="0"/>
    <s v="Black"/>
    <x v="1"/>
    <s v="India"/>
    <n v="9"/>
    <x v="0"/>
    <s v="$128.00"/>
    <s v="$72.00"/>
    <n v="1152"/>
    <n v="648"/>
    <n v="504"/>
    <n v="0.4375"/>
  </r>
  <r>
    <s v="06/26/2026"/>
    <s v="2026"/>
    <s v="26"/>
    <x v="1"/>
    <x v="5"/>
    <x v="0"/>
    <s v="Red"/>
    <x v="3"/>
    <s v="Philippines"/>
    <n v="7"/>
    <x v="1"/>
    <s v="$105.00"/>
    <s v="$58.00"/>
    <n v="735"/>
    <n v="406"/>
    <n v="329"/>
    <n v="0.44761904761904764"/>
  </r>
  <r>
    <s v="05/28/2026"/>
    <s v="2026"/>
    <s v="28"/>
    <x v="0"/>
    <x v="0"/>
    <x v="0"/>
    <s v="Brown"/>
    <x v="1"/>
    <s v="Germany"/>
    <n v="4"/>
    <x v="2"/>
    <s v="$89.00"/>
    <s v="$47.00"/>
    <n v="356"/>
    <n v="188"/>
    <n v="168"/>
    <n v="0.47191011235955055"/>
  </r>
  <r>
    <d v="2026-09-02T00:00:00"/>
    <s v="6267"/>
    <s v="67"/>
    <x v="4"/>
    <x v="7"/>
    <x v="3"/>
    <s v="Brown"/>
    <x v="4"/>
    <s v="Cyprus"/>
    <n v="7"/>
    <x v="1"/>
    <s v="$119.00"/>
    <s v="$67.00"/>
    <n v="833"/>
    <n v="469"/>
    <n v="364"/>
    <n v="0.43697478991596639"/>
  </r>
  <r>
    <d v="2026-05-03T00:00:00"/>
    <s v="6145"/>
    <s v="45"/>
    <x v="2"/>
    <x v="3"/>
    <x v="2"/>
    <s v="Green"/>
    <x v="2"/>
    <s v="Kenya"/>
    <n v="10"/>
    <x v="3"/>
    <s v="$76.00"/>
    <s v="$39.00"/>
    <n v="760"/>
    <n v="390"/>
    <n v="370"/>
    <n v="0.48684210526315791"/>
  </r>
  <r>
    <s v="02/25/2026"/>
    <s v="2026"/>
    <s v="25"/>
    <x v="9"/>
    <x v="1"/>
    <x v="0"/>
    <s v="Brown"/>
    <x v="1"/>
    <s v="USA"/>
    <n v="2"/>
    <x v="3"/>
    <s v="$54.00"/>
    <s v="$28.00"/>
    <n v="108"/>
    <n v="56"/>
    <n v="52"/>
    <n v="0.48148148148148145"/>
  </r>
  <r>
    <d v="2026-10-06T00:00:00"/>
    <s v="6301"/>
    <s v="01"/>
    <x v="7"/>
    <x v="6"/>
    <x v="2"/>
    <s v="Blue"/>
    <x v="1"/>
    <s v="UK"/>
    <n v="14"/>
    <x v="1"/>
    <s v="$112.00"/>
    <s v="$64.00"/>
    <n v="1568"/>
    <n v="896"/>
    <n v="672"/>
    <n v="0.42857142857142855"/>
  </r>
  <r>
    <d v="2026-10-01T00:00:00"/>
    <s v="6296"/>
    <s v="96"/>
    <x v="5"/>
    <x v="4"/>
    <x v="2"/>
    <s v="Blue"/>
    <x v="1"/>
    <s v="Uganda"/>
    <n v="6"/>
    <x v="3"/>
    <s v="$128.00"/>
    <s v="$72.00"/>
    <n v="768"/>
    <n v="432"/>
    <n v="336"/>
    <n v="0.4375"/>
  </r>
  <r>
    <s v="07/17/2026"/>
    <s v="2026"/>
    <s v="17"/>
    <x v="8"/>
    <x v="5"/>
    <x v="2"/>
    <s v="Blue"/>
    <x v="2"/>
    <s v="Uganda"/>
    <n v="5"/>
    <x v="2"/>
    <s v="$105.00"/>
    <s v="$58.00"/>
    <n v="525"/>
    <n v="290"/>
    <n v="235"/>
    <n v="0.44761904761904764"/>
  </r>
  <r>
    <s v="02/20/2026"/>
    <s v="2026"/>
    <s v="20"/>
    <x v="9"/>
    <x v="6"/>
    <x v="2"/>
    <s v="Green"/>
    <x v="2"/>
    <s v="Uganda"/>
    <n v="4"/>
    <x v="0"/>
    <s v="$112.00"/>
    <s v="$64.00"/>
    <n v="448"/>
    <n v="256"/>
    <n v="192"/>
    <n v="0.42857142857142855"/>
  </r>
  <r>
    <s v="06/26/2026"/>
    <s v="2026"/>
    <s v="26"/>
    <x v="1"/>
    <x v="3"/>
    <x v="2"/>
    <s v="Blue"/>
    <x v="2"/>
    <s v="Nigeria"/>
    <n v="4"/>
    <x v="0"/>
    <s v="$76.00"/>
    <s v="$39.00"/>
    <n v="304"/>
    <n v="156"/>
    <n v="148"/>
    <n v="0.48684210526315791"/>
  </r>
  <r>
    <s v="06/16/2026"/>
    <s v="2026"/>
    <s v="16"/>
    <x v="1"/>
    <x v="5"/>
    <x v="0"/>
    <s v="Blue"/>
    <x v="0"/>
    <s v="UK"/>
    <n v="10"/>
    <x v="2"/>
    <s v="$105.00"/>
    <s v="$58.00"/>
    <n v="1050"/>
    <n v="580"/>
    <n v="470"/>
    <n v="0.44761904761904764"/>
  </r>
  <r>
    <d v="2026-12-06T00:00:00"/>
    <s v="6362"/>
    <s v="62"/>
    <x v="4"/>
    <x v="0"/>
    <x v="3"/>
    <s v="Black"/>
    <x v="0"/>
    <s v="Cyprus"/>
    <n v="14"/>
    <x v="2"/>
    <s v="$89.00"/>
    <s v="$47.00"/>
    <n v="1246"/>
    <n v="658"/>
    <n v="588"/>
    <n v="0.47191011235955055"/>
  </r>
  <r>
    <s v="06/28/2026"/>
    <s v="2026"/>
    <s v="28"/>
    <x v="1"/>
    <x v="7"/>
    <x v="2"/>
    <s v="Green"/>
    <x v="2"/>
    <s v="USA"/>
    <n v="8"/>
    <x v="3"/>
    <s v="$119.00"/>
    <s v="$67.00"/>
    <n v="952"/>
    <n v="536"/>
    <n v="416"/>
    <n v="0.43697478991596639"/>
  </r>
  <r>
    <d v="2026-09-01T00:00:00"/>
    <s v="6266"/>
    <s v="66"/>
    <x v="4"/>
    <x v="4"/>
    <x v="0"/>
    <s v="Black"/>
    <x v="3"/>
    <s v="Germany"/>
    <n v="3"/>
    <x v="2"/>
    <s v="$128.00"/>
    <s v="$72.00"/>
    <n v="384"/>
    <n v="216"/>
    <n v="168"/>
    <n v="0.4375"/>
  </r>
  <r>
    <d v="2026-05-07T00:00:00"/>
    <s v="6149"/>
    <s v="49"/>
    <x v="2"/>
    <x v="4"/>
    <x v="0"/>
    <s v="Black"/>
    <x v="1"/>
    <s v="Zimbabwe"/>
    <n v="13"/>
    <x v="0"/>
    <s v="$128.00"/>
    <s v="$72.00"/>
    <n v="1664"/>
    <n v="936"/>
    <n v="728"/>
    <n v="0.4375"/>
  </r>
  <r>
    <s v="06/23/2026"/>
    <s v="2026"/>
    <s v="23"/>
    <x v="1"/>
    <x v="2"/>
    <x v="0"/>
    <s v="Green"/>
    <x v="0"/>
    <s v="Nigeria"/>
    <n v="8"/>
    <x v="0"/>
    <s v="$32.00"/>
    <s v="$14.00"/>
    <n v="256"/>
    <n v="112"/>
    <n v="144"/>
    <n v="0.5625"/>
  </r>
  <r>
    <d v="2026-09-03T00:00:00"/>
    <s v="6268"/>
    <s v="68"/>
    <x v="4"/>
    <x v="1"/>
    <x v="2"/>
    <s v="Green"/>
    <x v="2"/>
    <s v="Zimbabwe"/>
    <n v="6"/>
    <x v="0"/>
    <s v="$54.00"/>
    <s v="$28.00"/>
    <n v="324"/>
    <n v="168"/>
    <n v="156"/>
    <n v="0.48148148148148145"/>
  </r>
  <r>
    <s v="01/21/2026"/>
    <s v="2026"/>
    <s v="21"/>
    <x v="5"/>
    <x v="5"/>
    <x v="0"/>
    <s v="Red"/>
    <x v="3"/>
    <s v="Australia"/>
    <n v="14"/>
    <x v="2"/>
    <s v="$105.00"/>
    <s v="$58.00"/>
    <n v="1470"/>
    <n v="812"/>
    <n v="658"/>
    <n v="0.44761904761904764"/>
  </r>
  <r>
    <s v="05/20/2026"/>
    <s v="2026"/>
    <s v="20"/>
    <x v="0"/>
    <x v="7"/>
    <x v="2"/>
    <s v="Blue"/>
    <x v="1"/>
    <s v="Ghana"/>
    <n v="1"/>
    <x v="1"/>
    <s v="$119.00"/>
    <s v="$67.00"/>
    <n v="119"/>
    <n v="67"/>
    <n v="52"/>
    <n v="0.43697478991596639"/>
  </r>
  <r>
    <s v="05/27/2026"/>
    <s v="2026"/>
    <s v="27"/>
    <x v="0"/>
    <x v="4"/>
    <x v="0"/>
    <s v="Green"/>
    <x v="0"/>
    <s v="Kenya"/>
    <n v="11"/>
    <x v="3"/>
    <s v="$128.00"/>
    <s v="$72.00"/>
    <n v="1408"/>
    <n v="792"/>
    <n v="616"/>
    <n v="0.4375"/>
  </r>
  <r>
    <s v="05/26/2026"/>
    <s v="2026"/>
    <s v="26"/>
    <x v="0"/>
    <x v="2"/>
    <x v="2"/>
    <s v="Black"/>
    <x v="1"/>
    <s v="Ghana"/>
    <n v="9"/>
    <x v="0"/>
    <s v="$32.00"/>
    <s v="$14.00"/>
    <n v="288"/>
    <n v="126"/>
    <n v="162"/>
    <n v="0.5625"/>
  </r>
  <r>
    <s v="05/14/2026"/>
    <s v="2026"/>
    <s v="14"/>
    <x v="0"/>
    <x v="6"/>
    <x v="0"/>
    <s v="Green"/>
    <x v="3"/>
    <s v="Kenya"/>
    <n v="2"/>
    <x v="0"/>
    <s v="$112.00"/>
    <s v="$64.00"/>
    <n v="224"/>
    <n v="128"/>
    <n v="96"/>
    <n v="0.42857142857142855"/>
  </r>
  <r>
    <s v="01/15/2026"/>
    <s v="2026"/>
    <s v="15"/>
    <x v="5"/>
    <x v="0"/>
    <x v="0"/>
    <s v="Brown"/>
    <x v="3"/>
    <s v="Zimbabwe"/>
    <n v="9"/>
    <x v="1"/>
    <s v="$89.00"/>
    <s v="$47.00"/>
    <n v="801"/>
    <n v="423"/>
    <n v="378"/>
    <n v="0.47191011235955055"/>
  </r>
  <r>
    <d v="2026-02-06T00:00:00"/>
    <s v="6059"/>
    <s v="59"/>
    <x v="2"/>
    <x v="7"/>
    <x v="0"/>
    <s v="Brown"/>
    <x v="3"/>
    <s v="Kenya"/>
    <n v="8"/>
    <x v="1"/>
    <s v="$119.00"/>
    <s v="$67.00"/>
    <n v="952"/>
    <n v="536"/>
    <n v="416"/>
    <n v="0.43697478991596639"/>
  </r>
  <r>
    <s v="05/31/2026"/>
    <s v="2026"/>
    <s v="31"/>
    <x v="0"/>
    <x v="3"/>
    <x v="0"/>
    <s v="Green"/>
    <x v="0"/>
    <s v="UK"/>
    <n v="9"/>
    <x v="0"/>
    <s v="$76.00"/>
    <s v="$39.00"/>
    <n v="684"/>
    <n v="351"/>
    <n v="333"/>
    <n v="0.48684210526315791"/>
  </r>
  <r>
    <d v="2026-02-01T00:00:00"/>
    <s v="6054"/>
    <s v="54"/>
    <x v="2"/>
    <x v="3"/>
    <x v="0"/>
    <s v="Black"/>
    <x v="1"/>
    <s v="Canada"/>
    <n v="11"/>
    <x v="1"/>
    <s v="$76.00"/>
    <s v="$39.00"/>
    <n v="836"/>
    <n v="429"/>
    <n v="407"/>
    <n v="0.48684210526315791"/>
  </r>
  <r>
    <s v="01/25/2026"/>
    <s v="2026"/>
    <s v="25"/>
    <x v="5"/>
    <x v="5"/>
    <x v="1"/>
    <s v="Black"/>
    <x v="1"/>
    <s v="Kenya"/>
    <n v="8"/>
    <x v="0"/>
    <s v="$105.00"/>
    <s v="$58.00"/>
    <n v="840"/>
    <n v="464"/>
    <n v="376"/>
    <n v="0.44761904761904764"/>
  </r>
  <r>
    <s v="03/31/2026"/>
    <s v="2026"/>
    <s v="31"/>
    <x v="6"/>
    <x v="2"/>
    <x v="3"/>
    <s v="Green"/>
    <x v="3"/>
    <s v="India"/>
    <n v="7"/>
    <x v="2"/>
    <s v="$32.00"/>
    <s v="$14.00"/>
    <n v="224"/>
    <n v="98"/>
    <n v="126"/>
    <n v="0.5625"/>
  </r>
  <r>
    <d v="2026-04-03T00:00:00"/>
    <s v="6115"/>
    <s v="15"/>
    <x v="7"/>
    <x v="1"/>
    <x v="0"/>
    <s v="Red"/>
    <x v="4"/>
    <s v="Cyprus"/>
    <n v="8"/>
    <x v="2"/>
    <s v="$54.00"/>
    <s v="$28.00"/>
    <n v="432"/>
    <n v="224"/>
    <n v="208"/>
    <n v="0.48148148148148145"/>
  </r>
  <r>
    <d v="2026-05-04T00:00:00"/>
    <s v="6146"/>
    <s v="46"/>
    <x v="2"/>
    <x v="0"/>
    <x v="1"/>
    <s v="Red"/>
    <x v="3"/>
    <s v="Kenya"/>
    <n v="13"/>
    <x v="3"/>
    <s v="$89.00"/>
    <s v="$47.00"/>
    <n v="1157"/>
    <n v="611"/>
    <n v="546"/>
    <n v="0.47191011235955055"/>
  </r>
  <r>
    <s v="03/26/2026"/>
    <s v="2026"/>
    <s v="26"/>
    <x v="6"/>
    <x v="6"/>
    <x v="1"/>
    <s v="Brown"/>
    <x v="3"/>
    <s v="Uganda"/>
    <n v="14"/>
    <x v="1"/>
    <s v="$112.00"/>
    <s v="$64.00"/>
    <n v="1568"/>
    <n v="896"/>
    <n v="672"/>
    <n v="0.42857142857142855"/>
  </r>
  <r>
    <s v="04/30/2026"/>
    <s v="2026"/>
    <s v="30"/>
    <x v="3"/>
    <x v="0"/>
    <x v="3"/>
    <s v="Brown"/>
    <x v="1"/>
    <s v="Cyprus"/>
    <n v="11"/>
    <x v="3"/>
    <s v="$89.00"/>
    <s v="$47.00"/>
    <n v="979"/>
    <n v="517"/>
    <n v="462"/>
    <n v="0.47191011235955055"/>
  </r>
  <r>
    <d v="2026-07-01T00:00:00"/>
    <s v="6204"/>
    <s v="04"/>
    <x v="7"/>
    <x v="3"/>
    <x v="3"/>
    <s v="Green"/>
    <x v="3"/>
    <s v="Zimbabwe"/>
    <n v="14"/>
    <x v="1"/>
    <s v="$76.00"/>
    <s v="$39.00"/>
    <n v="1064"/>
    <n v="546"/>
    <n v="518"/>
    <n v="0.48684210526315791"/>
  </r>
  <r>
    <s v="03/31/2026"/>
    <s v="2026"/>
    <s v="31"/>
    <x v="6"/>
    <x v="4"/>
    <x v="0"/>
    <s v="Red"/>
    <x v="0"/>
    <s v="Cyprus"/>
    <n v="13"/>
    <x v="0"/>
    <s v="$128.00"/>
    <s v="$72.00"/>
    <n v="1664"/>
    <n v="936"/>
    <n v="728"/>
    <n v="0.4375"/>
  </r>
  <r>
    <s v="07/17/2026"/>
    <s v="2026"/>
    <s v="17"/>
    <x v="8"/>
    <x v="5"/>
    <x v="2"/>
    <s v="Black"/>
    <x v="0"/>
    <s v="Ghana"/>
    <n v="9"/>
    <x v="3"/>
    <s v="$105.00"/>
    <s v="$58.00"/>
    <n v="945"/>
    <n v="522"/>
    <n v="423"/>
    <n v="0.44761904761904764"/>
  </r>
  <r>
    <s v="04/22/2026"/>
    <s v="2026"/>
    <s v="22"/>
    <x v="3"/>
    <x v="5"/>
    <x v="1"/>
    <s v="Brown"/>
    <x v="2"/>
    <s v="Zimbabwe"/>
    <n v="6"/>
    <x v="3"/>
    <s v="$105.00"/>
    <s v="$58.00"/>
    <n v="630"/>
    <n v="348"/>
    <n v="282"/>
    <n v="0.44761904761904764"/>
  </r>
  <r>
    <d v="2026-07-07T00:00:00"/>
    <s v="6210"/>
    <s v="10"/>
    <x v="7"/>
    <x v="6"/>
    <x v="1"/>
    <s v="Blue"/>
    <x v="2"/>
    <s v="Philippines"/>
    <n v="12"/>
    <x v="2"/>
    <s v="$112.00"/>
    <s v="$64.00"/>
    <n v="1344"/>
    <n v="768"/>
    <n v="576"/>
    <n v="0.42857142857142855"/>
  </r>
  <r>
    <s v="03/18/2026"/>
    <s v="2026"/>
    <s v="18"/>
    <x v="6"/>
    <x v="4"/>
    <x v="3"/>
    <s v="Green"/>
    <x v="0"/>
    <s v="Canada"/>
    <n v="7"/>
    <x v="0"/>
    <s v="$128.00"/>
    <s v="$72.00"/>
    <n v="896"/>
    <n v="504"/>
    <n v="392"/>
    <n v="0.4375"/>
  </r>
  <r>
    <s v="04/22/2026"/>
    <s v="2026"/>
    <s v="22"/>
    <x v="3"/>
    <x v="1"/>
    <x v="1"/>
    <s v="Blue"/>
    <x v="2"/>
    <s v="Uganda"/>
    <n v="14"/>
    <x v="3"/>
    <s v="$54.00"/>
    <s v="$28.00"/>
    <n v="756"/>
    <n v="392"/>
    <n v="364"/>
    <n v="0.48148148148148145"/>
  </r>
  <r>
    <s v="05/17/2026"/>
    <s v="2026"/>
    <s v="17"/>
    <x v="0"/>
    <x v="3"/>
    <x v="3"/>
    <s v="Blue"/>
    <x v="1"/>
    <s v="Zimbabwe"/>
    <n v="8"/>
    <x v="3"/>
    <s v="$76.00"/>
    <s v="$39.00"/>
    <n v="608"/>
    <n v="312"/>
    <n v="296"/>
    <n v="0.48684210526315791"/>
  </r>
  <r>
    <s v="02/14/2026"/>
    <s v="2026"/>
    <s v="14"/>
    <x v="9"/>
    <x v="5"/>
    <x v="0"/>
    <s v="Red"/>
    <x v="3"/>
    <s v="Germany"/>
    <n v="3"/>
    <x v="0"/>
    <s v="$105.00"/>
    <s v="$58.00"/>
    <n v="315"/>
    <n v="174"/>
    <n v="141"/>
    <n v="0.44761904761904764"/>
  </r>
  <r>
    <d v="2026-10-07T00:00:00"/>
    <s v="6302"/>
    <s v="02"/>
    <x v="7"/>
    <x v="3"/>
    <x v="0"/>
    <s v="Red"/>
    <x v="3"/>
    <s v="Australia"/>
    <n v="15"/>
    <x v="3"/>
    <s v="$76.00"/>
    <s v="$39.00"/>
    <n v="1140"/>
    <n v="585"/>
    <n v="555"/>
    <n v="0.48684210526315791"/>
  </r>
  <r>
    <s v="03/29/2026"/>
    <s v="2026"/>
    <s v="29"/>
    <x v="6"/>
    <x v="5"/>
    <x v="1"/>
    <s v="Brown"/>
    <x v="4"/>
    <s v="Ghana"/>
    <n v="5"/>
    <x v="1"/>
    <s v="$105.00"/>
    <s v="$58.00"/>
    <n v="525"/>
    <n v="290"/>
    <n v="235"/>
    <n v="0.44761904761904764"/>
  </r>
  <r>
    <d v="2026-06-05T00:00:00"/>
    <s v="6178"/>
    <s v="78"/>
    <x v="4"/>
    <x v="5"/>
    <x v="1"/>
    <s v="Green"/>
    <x v="1"/>
    <s v="UK"/>
    <n v="2"/>
    <x v="1"/>
    <s v="$105.00"/>
    <s v="$58.00"/>
    <n v="210"/>
    <n v="116"/>
    <n v="94"/>
    <n v="0.44761904761904764"/>
  </r>
  <r>
    <s v="04/22/2026"/>
    <s v="2026"/>
    <s v="22"/>
    <x v="3"/>
    <x v="4"/>
    <x v="2"/>
    <s v="Black"/>
    <x v="3"/>
    <s v="Canada"/>
    <n v="14"/>
    <x v="2"/>
    <s v="$128.00"/>
    <s v="$72.00"/>
    <n v="1792"/>
    <n v="1008"/>
    <n v="784"/>
    <n v="0.4375"/>
  </r>
  <r>
    <s v="02/24/2026"/>
    <s v="2026"/>
    <s v="24"/>
    <x v="9"/>
    <x v="4"/>
    <x v="0"/>
    <s v="Brown"/>
    <x v="2"/>
    <s v="Nigeria"/>
    <n v="5"/>
    <x v="0"/>
    <s v="$128.00"/>
    <s v="$72.00"/>
    <n v="640"/>
    <n v="360"/>
    <n v="280"/>
    <n v="0.4375"/>
  </r>
  <r>
    <s v="05/13/2026"/>
    <s v="2026"/>
    <s v="13"/>
    <x v="0"/>
    <x v="6"/>
    <x v="0"/>
    <s v="Blue"/>
    <x v="1"/>
    <s v="India"/>
    <n v="13"/>
    <x v="3"/>
    <s v="$112.00"/>
    <s v="$64.00"/>
    <n v="1456"/>
    <n v="832"/>
    <n v="624"/>
    <n v="0.42857142857142855"/>
  </r>
  <r>
    <s v="05/30/2026"/>
    <s v="2026"/>
    <s v="30"/>
    <x v="0"/>
    <x v="4"/>
    <x v="0"/>
    <s v="Green"/>
    <x v="2"/>
    <s v="UK"/>
    <n v="3"/>
    <x v="0"/>
    <s v="$128.00"/>
    <s v="$72.00"/>
    <n v="384"/>
    <n v="216"/>
    <n v="168"/>
    <n v="0.4375"/>
  </r>
  <r>
    <d v="2026-06-03T00:00:00"/>
    <s v="6176"/>
    <s v="76"/>
    <x v="4"/>
    <x v="7"/>
    <x v="0"/>
    <s v="Green"/>
    <x v="1"/>
    <s v="Albania"/>
    <n v="8"/>
    <x v="1"/>
    <s v="$119.00"/>
    <s v="$67.00"/>
    <n v="952"/>
    <n v="536"/>
    <n v="416"/>
    <n v="0.43697478991596639"/>
  </r>
  <r>
    <d v="2026-01-08T00:00:00"/>
    <s v="6030"/>
    <s v="30"/>
    <x v="7"/>
    <x v="7"/>
    <x v="1"/>
    <s v="Red"/>
    <x v="1"/>
    <s v="Albania"/>
    <n v="1"/>
    <x v="3"/>
    <s v="$119.00"/>
    <s v="$67.00"/>
    <n v="119"/>
    <n v="67"/>
    <n v="52"/>
    <n v="0.43697478991596639"/>
  </r>
  <r>
    <s v="01/30/2026"/>
    <s v="2026"/>
    <s v="30"/>
    <x v="5"/>
    <x v="2"/>
    <x v="2"/>
    <s v="Blue"/>
    <x v="4"/>
    <s v="UK"/>
    <n v="5"/>
    <x v="2"/>
    <s v="$32.00"/>
    <s v="$14.00"/>
    <n v="160"/>
    <n v="70"/>
    <n v="90"/>
    <n v="0.5625"/>
  </r>
  <r>
    <d v="2026-05-07T00:00:00"/>
    <s v="6149"/>
    <s v="49"/>
    <x v="2"/>
    <x v="7"/>
    <x v="2"/>
    <s v="Green"/>
    <x v="3"/>
    <s v="India"/>
    <n v="8"/>
    <x v="0"/>
    <s v="$119.00"/>
    <s v="$67.00"/>
    <n v="952"/>
    <n v="536"/>
    <n v="416"/>
    <n v="0.43697478991596639"/>
  </r>
  <r>
    <s v="04/22/2026"/>
    <s v="2026"/>
    <s v="22"/>
    <x v="3"/>
    <x v="2"/>
    <x v="0"/>
    <s v="Blue"/>
    <x v="4"/>
    <s v="USA"/>
    <n v="4"/>
    <x v="1"/>
    <s v="$32.00"/>
    <s v="$14.00"/>
    <n v="128"/>
    <n v="56"/>
    <n v="72"/>
    <n v="0.5625"/>
  </r>
  <r>
    <s v="06/29/2026"/>
    <s v="2026"/>
    <s v="29"/>
    <x v="1"/>
    <x v="0"/>
    <x v="2"/>
    <s v="Blue"/>
    <x v="1"/>
    <s v="UK"/>
    <n v="4"/>
    <x v="1"/>
    <s v="$89.00"/>
    <s v="$47.00"/>
    <n v="356"/>
    <n v="188"/>
    <n v="168"/>
    <n v="0.47191011235955055"/>
  </r>
  <r>
    <d v="2026-12-05T00:00:00"/>
    <s v="6361"/>
    <s v="61"/>
    <x v="2"/>
    <x v="6"/>
    <x v="2"/>
    <s v="Black"/>
    <x v="4"/>
    <s v="Zimbabwe"/>
    <n v="10"/>
    <x v="1"/>
    <s v="$112.00"/>
    <s v="$64.00"/>
    <n v="1120"/>
    <n v="640"/>
    <n v="480"/>
    <n v="0.42857142857142855"/>
  </r>
  <r>
    <d v="2026-09-02T00:00:00"/>
    <s v="6267"/>
    <s v="67"/>
    <x v="4"/>
    <x v="6"/>
    <x v="0"/>
    <s v="Red"/>
    <x v="3"/>
    <s v="Uganda"/>
    <n v="8"/>
    <x v="2"/>
    <s v="$112.00"/>
    <s v="$64.00"/>
    <n v="896"/>
    <n v="512"/>
    <n v="384"/>
    <n v="0.42857142857142855"/>
  </r>
  <r>
    <s v="03/27/2026"/>
    <s v="2026"/>
    <s v="27"/>
    <x v="6"/>
    <x v="0"/>
    <x v="2"/>
    <s v="Green"/>
    <x v="0"/>
    <s v="UK"/>
    <n v="5"/>
    <x v="0"/>
    <s v="$89.00"/>
    <s v="$47.00"/>
    <n v="445"/>
    <n v="235"/>
    <n v="210"/>
    <n v="0.47191011235955055"/>
  </r>
  <r>
    <s v="03/25/2026"/>
    <s v="2026"/>
    <s v="25"/>
    <x v="6"/>
    <x v="6"/>
    <x v="2"/>
    <s v="Red"/>
    <x v="2"/>
    <s v="Kenya"/>
    <n v="2"/>
    <x v="1"/>
    <s v="$112.00"/>
    <s v="$64.00"/>
    <n v="224"/>
    <n v="128"/>
    <n v="96"/>
    <n v="0.42857142857142855"/>
  </r>
  <r>
    <d v="2026-06-07T00:00:00"/>
    <s v="6180"/>
    <s v="80"/>
    <x v="4"/>
    <x v="4"/>
    <x v="2"/>
    <s v="Red"/>
    <x v="2"/>
    <s v="Kenya"/>
    <n v="6"/>
    <x v="3"/>
    <s v="$128.00"/>
    <s v="$72.00"/>
    <n v="768"/>
    <n v="432"/>
    <n v="336"/>
    <n v="0.4375"/>
  </r>
  <r>
    <s v="08/13/2026"/>
    <s v="2026"/>
    <s v="13"/>
    <x v="10"/>
    <x v="6"/>
    <x v="2"/>
    <s v="Blue"/>
    <x v="4"/>
    <s v="Germany"/>
    <n v="7"/>
    <x v="2"/>
    <s v="$112.00"/>
    <s v="$64.00"/>
    <n v="784"/>
    <n v="448"/>
    <n v="336"/>
    <n v="0.42857142857142855"/>
  </r>
  <r>
    <s v="06/28/2026"/>
    <s v="2026"/>
    <s v="28"/>
    <x v="1"/>
    <x v="3"/>
    <x v="0"/>
    <s v="Green"/>
    <x v="3"/>
    <s v="Australia"/>
    <n v="3"/>
    <x v="1"/>
    <s v="$76.00"/>
    <s v="$39.00"/>
    <n v="228"/>
    <n v="117"/>
    <n v="111"/>
    <n v="0.48684210526315791"/>
  </r>
  <r>
    <s v="02/27/2026"/>
    <s v="2026"/>
    <s v="27"/>
    <x v="9"/>
    <x v="0"/>
    <x v="0"/>
    <s v="Brown"/>
    <x v="1"/>
    <s v="Kenya"/>
    <n v="5"/>
    <x v="0"/>
    <s v="$89.00"/>
    <s v="$47.00"/>
    <n v="445"/>
    <n v="235"/>
    <n v="210"/>
    <n v="0.47191011235955055"/>
  </r>
  <r>
    <s v="02/21/2026"/>
    <s v="2026"/>
    <s v="21"/>
    <x v="9"/>
    <x v="2"/>
    <x v="3"/>
    <s v="Green"/>
    <x v="1"/>
    <s v="USA"/>
    <n v="3"/>
    <x v="0"/>
    <s v="$32.00"/>
    <s v="$14.00"/>
    <n v="96"/>
    <n v="42"/>
    <n v="54"/>
    <n v="0.5625"/>
  </r>
  <r>
    <d v="2026-05-03T00:00:00"/>
    <s v="6145"/>
    <s v="45"/>
    <x v="2"/>
    <x v="6"/>
    <x v="3"/>
    <s v="Red"/>
    <x v="2"/>
    <s v="Germany"/>
    <n v="7"/>
    <x v="2"/>
    <s v="$112.00"/>
    <s v="$64.00"/>
    <n v="784"/>
    <n v="448"/>
    <n v="336"/>
    <n v="0.42857142857142855"/>
  </r>
  <r>
    <d v="2026-02-05T00:00:00"/>
    <s v="6058"/>
    <s v="58"/>
    <x v="2"/>
    <x v="2"/>
    <x v="2"/>
    <s v="Brown"/>
    <x v="1"/>
    <s v="Australia"/>
    <n v="3"/>
    <x v="0"/>
    <s v="$32.00"/>
    <s v="$14.00"/>
    <n v="96"/>
    <n v="42"/>
    <n v="54"/>
    <n v="0.5625"/>
  </r>
  <r>
    <s v="05/20/2026"/>
    <s v="2026"/>
    <s v="20"/>
    <x v="0"/>
    <x v="4"/>
    <x v="0"/>
    <s v="Green"/>
    <x v="1"/>
    <s v="Germany"/>
    <n v="8"/>
    <x v="2"/>
    <s v="$128.00"/>
    <s v="$72.00"/>
    <n v="1024"/>
    <n v="576"/>
    <n v="448"/>
    <n v="0.4375"/>
  </r>
  <r>
    <s v="03/24/2026"/>
    <s v="2026"/>
    <s v="24"/>
    <x v="6"/>
    <x v="2"/>
    <x v="2"/>
    <s v="Red"/>
    <x v="3"/>
    <s v="Philippines"/>
    <n v="3"/>
    <x v="1"/>
    <s v="$32.00"/>
    <s v="$14.00"/>
    <n v="96"/>
    <n v="42"/>
    <n v="54"/>
    <n v="0.5625"/>
  </r>
  <r>
    <d v="2026-02-06T00:00:00"/>
    <s v="6059"/>
    <s v="59"/>
    <x v="2"/>
    <x v="7"/>
    <x v="1"/>
    <s v="Blue"/>
    <x v="4"/>
    <s v="USA"/>
    <n v="5"/>
    <x v="2"/>
    <s v="$119.00"/>
    <s v="$67.00"/>
    <n v="595"/>
    <n v="335"/>
    <n v="260"/>
    <n v="0.43697478991596639"/>
  </r>
  <r>
    <s v="04/14/2026"/>
    <s v="2026"/>
    <s v="14"/>
    <x v="3"/>
    <x v="0"/>
    <x v="2"/>
    <s v="Red"/>
    <x v="1"/>
    <s v="Germany"/>
    <n v="3"/>
    <x v="3"/>
    <s v="$89.00"/>
    <s v="$47.00"/>
    <n v="267"/>
    <n v="141"/>
    <n v="126"/>
    <n v="0.47191011235955055"/>
  </r>
  <r>
    <s v="06/16/2026"/>
    <s v="2026"/>
    <s v="16"/>
    <x v="1"/>
    <x v="5"/>
    <x v="0"/>
    <s v="Black"/>
    <x v="1"/>
    <s v="Kenya"/>
    <n v="13"/>
    <x v="1"/>
    <s v="$105.00"/>
    <s v="$58.00"/>
    <n v="1365"/>
    <n v="754"/>
    <n v="611"/>
    <n v="0.44761904761904764"/>
  </r>
  <r>
    <d v="2026-01-01T00:00:00"/>
    <s v="6023"/>
    <s v="23"/>
    <x v="7"/>
    <x v="3"/>
    <x v="2"/>
    <s v="Red"/>
    <x v="1"/>
    <s v="India"/>
    <n v="12"/>
    <x v="2"/>
    <s v="$76.00"/>
    <s v="$39.00"/>
    <n v="912"/>
    <n v="468"/>
    <n v="444"/>
    <n v="0.48684210526315791"/>
  </r>
  <r>
    <d v="2026-04-07T00:00:00"/>
    <s v="6119"/>
    <s v="19"/>
    <x v="7"/>
    <x v="0"/>
    <x v="2"/>
    <s v="Black"/>
    <x v="1"/>
    <s v="USA"/>
    <n v="3"/>
    <x v="1"/>
    <s v="$89.00"/>
    <s v="$47.00"/>
    <n v="267"/>
    <n v="141"/>
    <n v="126"/>
    <n v="0.47191011235955055"/>
  </r>
  <r>
    <s v="06/15/2026"/>
    <s v="2026"/>
    <s v="15"/>
    <x v="1"/>
    <x v="5"/>
    <x v="3"/>
    <s v="Brown"/>
    <x v="1"/>
    <s v="Canada"/>
    <n v="2"/>
    <x v="2"/>
    <s v="$105.00"/>
    <s v="$58.00"/>
    <n v="210"/>
    <n v="116"/>
    <n v="94"/>
    <n v="0.44761904761904764"/>
  </r>
  <r>
    <d v="2026-05-06T00:00:00"/>
    <s v="6148"/>
    <s v="48"/>
    <x v="2"/>
    <x v="4"/>
    <x v="0"/>
    <s v="Black"/>
    <x v="3"/>
    <s v="Cyprus"/>
    <n v="14"/>
    <x v="2"/>
    <s v="$128.00"/>
    <s v="$72.00"/>
    <n v="1792"/>
    <n v="1008"/>
    <n v="784"/>
    <n v="0.4375"/>
  </r>
  <r>
    <s v="06/20/2026"/>
    <s v="2026"/>
    <s v="20"/>
    <x v="1"/>
    <x v="6"/>
    <x v="0"/>
    <s v="Red"/>
    <x v="1"/>
    <s v="USA"/>
    <n v="4"/>
    <x v="3"/>
    <s v="$112.00"/>
    <s v="$64.00"/>
    <n v="448"/>
    <n v="256"/>
    <n v="192"/>
    <n v="0.42857142857142855"/>
  </r>
  <r>
    <d v="2026-12-07T00:00:00"/>
    <s v="6363"/>
    <s v="63"/>
    <x v="4"/>
    <x v="1"/>
    <x v="0"/>
    <s v="Red"/>
    <x v="0"/>
    <s v="Uganda"/>
    <n v="4"/>
    <x v="2"/>
    <s v="$54.00"/>
    <s v="$28.00"/>
    <n v="216"/>
    <n v="112"/>
    <n v="104"/>
    <n v="0.48148148148148145"/>
  </r>
  <r>
    <s v="04/19/2026"/>
    <s v="2026"/>
    <s v="19"/>
    <x v="3"/>
    <x v="3"/>
    <x v="0"/>
    <s v="Brown"/>
    <x v="1"/>
    <s v="Nigeria"/>
    <n v="4"/>
    <x v="1"/>
    <s v="$76.00"/>
    <s v="$39.00"/>
    <n v="304"/>
    <n v="156"/>
    <n v="148"/>
    <n v="0.48684210526315791"/>
  </r>
  <r>
    <d v="2026-11-08T00:00:00"/>
    <s v="6334"/>
    <s v="34"/>
    <x v="2"/>
    <x v="7"/>
    <x v="3"/>
    <s v="Black"/>
    <x v="0"/>
    <s v="Uganda"/>
    <n v="1"/>
    <x v="2"/>
    <s v="$119.00"/>
    <s v="$67.00"/>
    <n v="119"/>
    <n v="67"/>
    <n v="52"/>
    <n v="0.43697478991596639"/>
  </r>
  <r>
    <d v="2026-04-08T00:00:00"/>
    <s v="6120"/>
    <s v="20"/>
    <x v="7"/>
    <x v="3"/>
    <x v="0"/>
    <s v="Red"/>
    <x v="3"/>
    <s v="Kenya"/>
    <n v="5"/>
    <x v="2"/>
    <s v="$76.00"/>
    <s v="$39.00"/>
    <n v="380"/>
    <n v="195"/>
    <n v="185"/>
    <n v="0.48684210526315791"/>
  </r>
  <r>
    <s v="06/27/2026"/>
    <s v="2026"/>
    <s v="27"/>
    <x v="1"/>
    <x v="6"/>
    <x v="0"/>
    <s v="Brown"/>
    <x v="3"/>
    <s v="Australia"/>
    <n v="5"/>
    <x v="2"/>
    <s v="$112.00"/>
    <s v="$64.00"/>
    <n v="560"/>
    <n v="320"/>
    <n v="240"/>
    <n v="0.42857142857142855"/>
  </r>
  <r>
    <d v="2026-08-01T00:00:00"/>
    <s v="6235"/>
    <s v="35"/>
    <x v="2"/>
    <x v="6"/>
    <x v="0"/>
    <s v="Blue"/>
    <x v="4"/>
    <s v="Ghana"/>
    <n v="3"/>
    <x v="2"/>
    <s v="$112.00"/>
    <s v="$64.00"/>
    <n v="336"/>
    <n v="192"/>
    <n v="144"/>
    <n v="0.42857142857142855"/>
  </r>
  <r>
    <s v="07/23/2026"/>
    <s v="2026"/>
    <s v="23"/>
    <x v="8"/>
    <x v="6"/>
    <x v="0"/>
    <s v="Blue"/>
    <x v="4"/>
    <s v="Germany"/>
    <n v="11"/>
    <x v="0"/>
    <s v="$112.00"/>
    <s v="$64.00"/>
    <n v="1232"/>
    <n v="704"/>
    <n v="528"/>
    <n v="0.42857142857142855"/>
  </r>
  <r>
    <d v="2026-01-08T00:00:00"/>
    <s v="6030"/>
    <s v="30"/>
    <x v="7"/>
    <x v="3"/>
    <x v="2"/>
    <s v="Black"/>
    <x v="1"/>
    <s v="Kenya"/>
    <n v="9"/>
    <x v="3"/>
    <s v="$76.00"/>
    <s v="$39.00"/>
    <n v="684"/>
    <n v="351"/>
    <n v="333"/>
    <n v="0.48684210526315791"/>
  </r>
  <r>
    <s v="07/20/2026"/>
    <s v="2026"/>
    <s v="20"/>
    <x v="8"/>
    <x v="5"/>
    <x v="0"/>
    <s v="Blue"/>
    <x v="3"/>
    <s v="USA"/>
    <n v="15"/>
    <x v="0"/>
    <s v="$105.00"/>
    <s v="$58.00"/>
    <n v="1575"/>
    <n v="870"/>
    <n v="705"/>
    <n v="0.44761904761904764"/>
  </r>
  <r>
    <s v="01/27/2026"/>
    <s v="2026"/>
    <s v="27"/>
    <x v="5"/>
    <x v="0"/>
    <x v="2"/>
    <s v="Blue"/>
    <x v="3"/>
    <s v="UK"/>
    <n v="10"/>
    <x v="2"/>
    <s v="$89.00"/>
    <s v="$47.00"/>
    <n v="890"/>
    <n v="470"/>
    <n v="420"/>
    <n v="0.47191011235955055"/>
  </r>
  <r>
    <d v="2026-02-03T00:00:00"/>
    <s v="6056"/>
    <s v="56"/>
    <x v="2"/>
    <x v="7"/>
    <x v="0"/>
    <s v="Brown"/>
    <x v="3"/>
    <s v="Cyprus"/>
    <n v="5"/>
    <x v="2"/>
    <s v="$119.00"/>
    <s v="$67.00"/>
    <n v="595"/>
    <n v="335"/>
    <n v="260"/>
    <n v="0.43697478991596639"/>
  </r>
  <r>
    <s v="05/18/2026"/>
    <s v="2026"/>
    <s v="18"/>
    <x v="0"/>
    <x v="7"/>
    <x v="0"/>
    <s v="Green"/>
    <x v="1"/>
    <s v="Australia"/>
    <n v="9"/>
    <x v="2"/>
    <s v="$119.00"/>
    <s v="$67.00"/>
    <n v="1071"/>
    <n v="603"/>
    <n v="468"/>
    <n v="0.43697478991596639"/>
  </r>
  <r>
    <s v="07/17/2026"/>
    <s v="2026"/>
    <s v="17"/>
    <x v="8"/>
    <x v="0"/>
    <x v="0"/>
    <s v="Black"/>
    <x v="1"/>
    <s v="Albania"/>
    <n v="1"/>
    <x v="2"/>
    <s v="$89.00"/>
    <s v="$47.00"/>
    <n v="89"/>
    <n v="47"/>
    <n v="42"/>
    <n v="0.47191011235955055"/>
  </r>
  <r>
    <s v="03/13/2026"/>
    <s v="2026"/>
    <s v="13"/>
    <x v="6"/>
    <x v="3"/>
    <x v="2"/>
    <s v="Blue"/>
    <x v="1"/>
    <s v="Canada"/>
    <n v="8"/>
    <x v="1"/>
    <s v="$76.00"/>
    <s v="$39.00"/>
    <n v="608"/>
    <n v="312"/>
    <n v="296"/>
    <n v="0.48684210526315791"/>
  </r>
  <r>
    <d v="2026-04-06T00:00:00"/>
    <s v="6118"/>
    <s v="18"/>
    <x v="7"/>
    <x v="5"/>
    <x v="3"/>
    <s v="Green"/>
    <x v="1"/>
    <s v="India"/>
    <n v="8"/>
    <x v="3"/>
    <s v="$105.00"/>
    <s v="$58.00"/>
    <n v="840"/>
    <n v="464"/>
    <n v="376"/>
    <n v="0.44761904761904764"/>
  </r>
  <r>
    <s v="07/28/2026"/>
    <s v="2026"/>
    <s v="28"/>
    <x v="8"/>
    <x v="2"/>
    <x v="3"/>
    <s v="Red"/>
    <x v="1"/>
    <s v="Cyprus"/>
    <n v="9"/>
    <x v="1"/>
    <s v="$32.00"/>
    <s v="$14.00"/>
    <n v="288"/>
    <n v="126"/>
    <n v="162"/>
    <n v="0.5625"/>
  </r>
  <r>
    <s v="06/30/2026"/>
    <s v="2026"/>
    <s v="30"/>
    <x v="1"/>
    <x v="6"/>
    <x v="2"/>
    <s v="Black"/>
    <x v="0"/>
    <s v="Philippines"/>
    <n v="10"/>
    <x v="0"/>
    <s v="$112.00"/>
    <s v="$64.00"/>
    <n v="1120"/>
    <n v="640"/>
    <n v="480"/>
    <n v="0.42857142857142855"/>
  </r>
  <r>
    <d v="2026-04-08T00:00:00"/>
    <s v="6120"/>
    <s v="20"/>
    <x v="7"/>
    <x v="4"/>
    <x v="3"/>
    <s v="Green"/>
    <x v="1"/>
    <s v="Ghana"/>
    <n v="6"/>
    <x v="1"/>
    <s v="$128.00"/>
    <s v="$72.00"/>
    <n v="768"/>
    <n v="432"/>
    <n v="336"/>
    <n v="0.4375"/>
  </r>
  <r>
    <d v="2026-04-06T00:00:00"/>
    <s v="6118"/>
    <s v="18"/>
    <x v="7"/>
    <x v="4"/>
    <x v="0"/>
    <s v="Green"/>
    <x v="0"/>
    <s v="Ghana"/>
    <n v="4"/>
    <x v="2"/>
    <s v="$128.00"/>
    <s v="$72.00"/>
    <n v="512"/>
    <n v="288"/>
    <n v="224"/>
    <n v="0.4375"/>
  </r>
  <r>
    <s v="03/18/2026"/>
    <s v="2026"/>
    <s v="18"/>
    <x v="6"/>
    <x v="0"/>
    <x v="0"/>
    <s v="Black"/>
    <x v="2"/>
    <s v="Nigeria"/>
    <n v="4"/>
    <x v="0"/>
    <s v="$89.00"/>
    <s v="$47.00"/>
    <n v="356"/>
    <n v="188"/>
    <n v="168"/>
    <n v="0.47191011235955055"/>
  </r>
  <r>
    <s v="01/13/2026"/>
    <s v="2026"/>
    <s v="13"/>
    <x v="5"/>
    <x v="3"/>
    <x v="0"/>
    <s v="Red"/>
    <x v="4"/>
    <s v="USA"/>
    <n v="14"/>
    <x v="0"/>
    <s v="$76.00"/>
    <s v="$39.00"/>
    <n v="1064"/>
    <n v="546"/>
    <n v="518"/>
    <n v="0.48684210526315791"/>
  </r>
  <r>
    <d v="2026-02-06T00:00:00"/>
    <s v="6059"/>
    <s v="59"/>
    <x v="2"/>
    <x v="6"/>
    <x v="0"/>
    <s v="Green"/>
    <x v="4"/>
    <s v="USA"/>
    <n v="8"/>
    <x v="1"/>
    <s v="$112.00"/>
    <s v="$64.00"/>
    <n v="896"/>
    <n v="512"/>
    <n v="384"/>
    <n v="0.42857142857142855"/>
  </r>
  <r>
    <s v="01/22/2026"/>
    <s v="2026"/>
    <s v="22"/>
    <x v="5"/>
    <x v="3"/>
    <x v="0"/>
    <s v="Black"/>
    <x v="1"/>
    <s v="USA"/>
    <n v="3"/>
    <x v="1"/>
    <s v="$76.00"/>
    <s v="$39.00"/>
    <n v="228"/>
    <n v="117"/>
    <n v="111"/>
    <n v="0.48684210526315791"/>
  </r>
  <r>
    <s v="04/30/2026"/>
    <s v="2026"/>
    <s v="30"/>
    <x v="3"/>
    <x v="4"/>
    <x v="2"/>
    <s v="Red"/>
    <x v="1"/>
    <s v="Cyprus"/>
    <n v="10"/>
    <x v="0"/>
    <s v="$128.00"/>
    <s v="$72.00"/>
    <n v="1280"/>
    <n v="720"/>
    <n v="560"/>
    <n v="0.4375"/>
  </r>
  <r>
    <d v="2026-09-03T00:00:00"/>
    <s v="6268"/>
    <s v="68"/>
    <x v="4"/>
    <x v="1"/>
    <x v="1"/>
    <s v="Black"/>
    <x v="1"/>
    <s v="Ghana"/>
    <n v="7"/>
    <x v="1"/>
    <s v="$54.00"/>
    <s v="$28.00"/>
    <n v="378"/>
    <n v="196"/>
    <n v="182"/>
    <n v="0.48148148148148145"/>
  </r>
  <r>
    <d v="2026-08-07T00:00:00"/>
    <s v="6241"/>
    <s v="41"/>
    <x v="2"/>
    <x v="7"/>
    <x v="0"/>
    <s v="Black"/>
    <x v="0"/>
    <s v="USA"/>
    <n v="6"/>
    <x v="3"/>
    <s v="$119.00"/>
    <s v="$67.00"/>
    <n v="714"/>
    <n v="402"/>
    <n v="312"/>
    <n v="0.43697478991596639"/>
  </r>
  <r>
    <d v="2026-07-02T00:00:00"/>
    <s v="6205"/>
    <s v="05"/>
    <x v="7"/>
    <x v="2"/>
    <x v="0"/>
    <s v="Black"/>
    <x v="0"/>
    <s v="India"/>
    <n v="13"/>
    <x v="3"/>
    <s v="$32.00"/>
    <s v="$14.00"/>
    <n v="416"/>
    <n v="182"/>
    <n v="234"/>
    <n v="0.5625"/>
  </r>
  <r>
    <s v="01/26/2026"/>
    <s v="2026"/>
    <s v="26"/>
    <x v="5"/>
    <x v="0"/>
    <x v="2"/>
    <s v="Black"/>
    <x v="1"/>
    <s v="Nigeria"/>
    <n v="4"/>
    <x v="0"/>
    <s v="$89.00"/>
    <s v="$47.00"/>
    <n v="356"/>
    <n v="188"/>
    <n v="168"/>
    <n v="0.47191011235955055"/>
  </r>
  <r>
    <s v="07/31/2026"/>
    <s v="2026"/>
    <s v="31"/>
    <x v="8"/>
    <x v="7"/>
    <x v="0"/>
    <s v="Brown"/>
    <x v="3"/>
    <s v="Zimbabwe"/>
    <n v="3"/>
    <x v="0"/>
    <s v="$119.00"/>
    <s v="$67.00"/>
    <n v="357"/>
    <n v="201"/>
    <n v="156"/>
    <n v="0.43697478991596639"/>
  </r>
  <r>
    <s v="02/25/2026"/>
    <s v="2026"/>
    <s v="25"/>
    <x v="9"/>
    <x v="4"/>
    <x v="2"/>
    <s v="Brown"/>
    <x v="3"/>
    <s v="UK"/>
    <n v="13"/>
    <x v="3"/>
    <s v="$128.00"/>
    <s v="$72.00"/>
    <n v="1664"/>
    <n v="936"/>
    <n v="728"/>
    <n v="0.4375"/>
  </r>
  <r>
    <s v="04/19/2026"/>
    <s v="2026"/>
    <s v="19"/>
    <x v="3"/>
    <x v="3"/>
    <x v="2"/>
    <s v="Brown"/>
    <x v="0"/>
    <s v="Kenya"/>
    <n v="9"/>
    <x v="0"/>
    <s v="$76.00"/>
    <s v="$39.00"/>
    <n v="684"/>
    <n v="351"/>
    <n v="333"/>
    <n v="0.48684210526315791"/>
  </r>
  <r>
    <s v="05/25/2026"/>
    <s v="2026"/>
    <s v="25"/>
    <x v="0"/>
    <x v="1"/>
    <x v="2"/>
    <s v="Black"/>
    <x v="4"/>
    <s v="India"/>
    <n v="10"/>
    <x v="0"/>
    <s v="$54.00"/>
    <s v="$28.00"/>
    <n v="540"/>
    <n v="280"/>
    <n v="260"/>
    <n v="0.48148148148148145"/>
  </r>
  <r>
    <d v="2026-09-01T00:00:00"/>
    <s v="6266"/>
    <s v="66"/>
    <x v="4"/>
    <x v="7"/>
    <x v="2"/>
    <s v="Green"/>
    <x v="0"/>
    <s v="USA"/>
    <n v="6"/>
    <x v="2"/>
    <s v="$119.00"/>
    <s v="$67.00"/>
    <n v="714"/>
    <n v="402"/>
    <n v="312"/>
    <n v="0.43697478991596639"/>
  </r>
  <r>
    <d v="2026-11-07T00:00:00"/>
    <s v="6333"/>
    <s v="33"/>
    <x v="2"/>
    <x v="2"/>
    <x v="2"/>
    <s v="Black"/>
    <x v="1"/>
    <s v="USA"/>
    <n v="15"/>
    <x v="1"/>
    <s v="$32.00"/>
    <s v="$14.00"/>
    <n v="480"/>
    <n v="210"/>
    <n v="270"/>
    <n v="0.5625"/>
  </r>
  <r>
    <s v="07/16/2026"/>
    <s v="2026"/>
    <s v="16"/>
    <x v="8"/>
    <x v="7"/>
    <x v="0"/>
    <s v="Brown"/>
    <x v="1"/>
    <s v="Canada"/>
    <n v="11"/>
    <x v="1"/>
    <s v="$119.00"/>
    <s v="$67.00"/>
    <n v="1309"/>
    <n v="737"/>
    <n v="572"/>
    <n v="0.43697478991596639"/>
  </r>
  <r>
    <s v="02/27/2026"/>
    <s v="2026"/>
    <s v="27"/>
    <x v="9"/>
    <x v="0"/>
    <x v="2"/>
    <s v="Brown"/>
    <x v="3"/>
    <s v="Albania"/>
    <n v="9"/>
    <x v="2"/>
    <s v="$89.00"/>
    <s v="$47.00"/>
    <n v="801"/>
    <n v="423"/>
    <n v="378"/>
    <n v="0.47191011235955055"/>
  </r>
  <r>
    <s v="05/31/2026"/>
    <s v="2026"/>
    <s v="31"/>
    <x v="0"/>
    <x v="2"/>
    <x v="0"/>
    <s v="Brown"/>
    <x v="3"/>
    <s v="Philippines"/>
    <n v="8"/>
    <x v="3"/>
    <s v="$32.00"/>
    <s v="$14.00"/>
    <n v="256"/>
    <n v="112"/>
    <n v="144"/>
    <n v="0.5625"/>
  </r>
  <r>
    <d v="2026-03-05T00:00:00"/>
    <s v="6086"/>
    <s v="86"/>
    <x v="4"/>
    <x v="3"/>
    <x v="0"/>
    <s v="Red"/>
    <x v="1"/>
    <s v="Nigeria"/>
    <n v="13"/>
    <x v="3"/>
    <s v="$76.00"/>
    <s v="$39.00"/>
    <n v="988"/>
    <n v="507"/>
    <n v="481"/>
    <n v="0.48684210526315791"/>
  </r>
  <r>
    <d v="2026-12-07T00:00:00"/>
    <s v="6363"/>
    <s v="63"/>
    <x v="4"/>
    <x v="4"/>
    <x v="2"/>
    <s v="Red"/>
    <x v="3"/>
    <s v="Cyprus"/>
    <n v="6"/>
    <x v="2"/>
    <s v="$128.00"/>
    <s v="$72.00"/>
    <n v="768"/>
    <n v="432"/>
    <n v="336"/>
    <n v="0.4375"/>
  </r>
  <r>
    <d v="2026-04-01T00:00:00"/>
    <s v="6113"/>
    <s v="13"/>
    <x v="7"/>
    <x v="5"/>
    <x v="2"/>
    <s v="Brown"/>
    <x v="2"/>
    <s v="India"/>
    <n v="3"/>
    <x v="3"/>
    <s v="$105.00"/>
    <s v="$58.00"/>
    <n v="315"/>
    <n v="174"/>
    <n v="141"/>
    <n v="0.44761904761904764"/>
  </r>
  <r>
    <s v="02/25/2026"/>
    <s v="2026"/>
    <s v="25"/>
    <x v="9"/>
    <x v="2"/>
    <x v="0"/>
    <s v="Brown"/>
    <x v="1"/>
    <s v="Germany"/>
    <n v="8"/>
    <x v="0"/>
    <s v="$32.00"/>
    <s v="$14.00"/>
    <n v="256"/>
    <n v="112"/>
    <n v="144"/>
    <n v="0.5625"/>
  </r>
  <r>
    <d v="2026-12-02T00:00:00"/>
    <s v="6358"/>
    <s v="58"/>
    <x v="2"/>
    <x v="0"/>
    <x v="0"/>
    <s v="Black"/>
    <x v="3"/>
    <s v="Albania"/>
    <n v="15"/>
    <x v="3"/>
    <s v="$89.00"/>
    <s v="$47.00"/>
    <n v="1335"/>
    <n v="705"/>
    <n v="630"/>
    <n v="0.47191011235955055"/>
  </r>
  <r>
    <s v="07/15/2026"/>
    <s v="2026"/>
    <s v="15"/>
    <x v="8"/>
    <x v="0"/>
    <x v="0"/>
    <s v="Red"/>
    <x v="1"/>
    <s v="UK"/>
    <n v="2"/>
    <x v="0"/>
    <s v="$89.00"/>
    <s v="$47.00"/>
    <n v="178"/>
    <n v="94"/>
    <n v="84"/>
    <n v="0.47191011235955055"/>
  </r>
  <r>
    <s v="04/25/2026"/>
    <s v="2026"/>
    <s v="25"/>
    <x v="3"/>
    <x v="6"/>
    <x v="0"/>
    <s v="Red"/>
    <x v="1"/>
    <s v="Germany"/>
    <n v="10"/>
    <x v="3"/>
    <s v="$112.00"/>
    <s v="$64.00"/>
    <n v="1120"/>
    <n v="640"/>
    <n v="480"/>
    <n v="0.42857142857142855"/>
  </r>
  <r>
    <s v="01/23/2026"/>
    <s v="2026"/>
    <s v="23"/>
    <x v="5"/>
    <x v="1"/>
    <x v="0"/>
    <s v="Red"/>
    <x v="0"/>
    <s v="India"/>
    <n v="5"/>
    <x v="0"/>
    <s v="$54.00"/>
    <s v="$28.00"/>
    <n v="270"/>
    <n v="140"/>
    <n v="130"/>
    <n v="0.48148148148148145"/>
  </r>
  <r>
    <s v="03/14/2026"/>
    <s v="2026"/>
    <s v="14"/>
    <x v="6"/>
    <x v="2"/>
    <x v="0"/>
    <s v="Brown"/>
    <x v="3"/>
    <s v="Canada"/>
    <n v="15"/>
    <x v="2"/>
    <s v="$32.00"/>
    <s v="$14.00"/>
    <n v="480"/>
    <n v="210"/>
    <n v="270"/>
    <n v="0.5625"/>
  </r>
  <r>
    <d v="2026-11-02T00:00:00"/>
    <s v="6328"/>
    <s v="28"/>
    <x v="7"/>
    <x v="4"/>
    <x v="0"/>
    <s v="Black"/>
    <x v="4"/>
    <s v="Zimbabwe"/>
    <n v="15"/>
    <x v="2"/>
    <s v="$128.00"/>
    <s v="$72.00"/>
    <n v="1920"/>
    <n v="1080"/>
    <n v="840"/>
    <n v="0.4375"/>
  </r>
  <r>
    <d v="2026-12-05T00:00:00"/>
    <s v="6361"/>
    <s v="61"/>
    <x v="2"/>
    <x v="3"/>
    <x v="3"/>
    <s v="Red"/>
    <x v="1"/>
    <s v="Nigeria"/>
    <n v="10"/>
    <x v="1"/>
    <s v="$76.00"/>
    <s v="$39.00"/>
    <n v="760"/>
    <n v="390"/>
    <n v="370"/>
    <n v="0.48684210526315791"/>
  </r>
  <r>
    <s v="02/26/2026"/>
    <s v="2026"/>
    <s v="26"/>
    <x v="9"/>
    <x v="4"/>
    <x v="3"/>
    <s v="Red"/>
    <x v="1"/>
    <s v="Canada"/>
    <n v="5"/>
    <x v="0"/>
    <s v="$128.00"/>
    <s v="$72.00"/>
    <n v="640"/>
    <n v="360"/>
    <n v="280"/>
    <n v="0.4375"/>
  </r>
  <r>
    <s v="04/21/2026"/>
    <s v="2026"/>
    <s v="21"/>
    <x v="3"/>
    <x v="2"/>
    <x v="3"/>
    <s v="Brown"/>
    <x v="2"/>
    <s v="India"/>
    <n v="5"/>
    <x v="2"/>
    <s v="$32.00"/>
    <s v="$14.00"/>
    <n v="160"/>
    <n v="70"/>
    <n v="90"/>
    <n v="0.5625"/>
  </r>
  <r>
    <s v="06/25/2026"/>
    <s v="2026"/>
    <s v="25"/>
    <x v="1"/>
    <x v="1"/>
    <x v="3"/>
    <s v="Black"/>
    <x v="3"/>
    <s v="Uganda"/>
    <n v="8"/>
    <x v="0"/>
    <s v="$54.00"/>
    <s v="$28.00"/>
    <n v="432"/>
    <n v="224"/>
    <n v="208"/>
    <n v="0.48148148148148145"/>
  </r>
  <r>
    <d v="2026-02-06T00:00:00"/>
    <s v="6059"/>
    <s v="59"/>
    <x v="2"/>
    <x v="5"/>
    <x v="0"/>
    <s v="Green"/>
    <x v="4"/>
    <s v="Kenya"/>
    <n v="3"/>
    <x v="0"/>
    <s v="$105.00"/>
    <s v="$58.00"/>
    <n v="315"/>
    <n v="174"/>
    <n v="141"/>
    <n v="0.44761904761904764"/>
  </r>
  <r>
    <d v="2026-11-06T00:00:00"/>
    <s v="6332"/>
    <s v="32"/>
    <x v="2"/>
    <x v="4"/>
    <x v="2"/>
    <s v="Green"/>
    <x v="1"/>
    <s v="Nigeria"/>
    <n v="5"/>
    <x v="3"/>
    <s v="$128.00"/>
    <s v="$72.00"/>
    <n v="640"/>
    <n v="360"/>
    <n v="280"/>
    <n v="0.4375"/>
  </r>
  <r>
    <s v="07/15/2026"/>
    <s v="2026"/>
    <s v="15"/>
    <x v="8"/>
    <x v="2"/>
    <x v="2"/>
    <s v="Red"/>
    <x v="1"/>
    <s v="Germany"/>
    <n v="4"/>
    <x v="0"/>
    <s v="$32.00"/>
    <s v="$14.00"/>
    <n v="128"/>
    <n v="56"/>
    <n v="72"/>
    <n v="0.56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0"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rowHeaderCaption="Product">
  <location ref="K41:P51" firstHeaderRow="1" firstDataRow="2" firstDataCol="1"/>
  <pivotFields count="18">
    <pivotField showAll="0"/>
    <pivotField showAll="0"/>
    <pivotField showAll="0"/>
    <pivotField showAll="0" sortType="ascending"/>
    <pivotField axis="axisRow" showAll="0">
      <items count="9">
        <item x="3"/>
        <item x="6"/>
        <item x="4"/>
        <item x="2"/>
        <item x="1"/>
        <item x="0"/>
        <item x="5"/>
        <item x="7"/>
        <item t="default"/>
      </items>
    </pivotField>
    <pivotField showAll="0"/>
    <pivotField showAll="0"/>
    <pivotField showAll="0"/>
    <pivotField showAll="0"/>
    <pivotField dataField="1" showAll="0"/>
    <pivotField axis="axisCol" showAll="0">
      <items count="5">
        <item x="0"/>
        <item x="1"/>
        <item x="2"/>
        <item x="3"/>
        <item t="default"/>
      </items>
    </pivotField>
    <pivotField showAll="0"/>
    <pivotField showAll="0"/>
    <pivotField showAll="0" defaultSubtotal="0"/>
    <pivotField showAll="0"/>
    <pivotField showAll="0"/>
    <pivotField numFmtId="9" showAll="0"/>
    <pivotField dragToRow="0" dragToCol="0" dragToPage="0" showAll="0" defaultSubtotal="0"/>
  </pivotFields>
  <rowFields count="1">
    <field x="4"/>
  </rowFields>
  <rowItems count="9">
    <i>
      <x/>
    </i>
    <i>
      <x v="1"/>
    </i>
    <i>
      <x v="2"/>
    </i>
    <i>
      <x v="3"/>
    </i>
    <i>
      <x v="4"/>
    </i>
    <i>
      <x v="5"/>
    </i>
    <i>
      <x v="6"/>
    </i>
    <i>
      <x v="7"/>
    </i>
    <i t="grand">
      <x/>
    </i>
  </rowItems>
  <colFields count="1">
    <field x="10"/>
  </colFields>
  <colItems count="5">
    <i>
      <x/>
    </i>
    <i>
      <x v="1"/>
    </i>
    <i>
      <x v="2"/>
    </i>
    <i>
      <x v="3"/>
    </i>
    <i t="grand">
      <x/>
    </i>
  </colItems>
  <dataFields count="1">
    <dataField name="Sum of Quantity" fld="9" baseField="0" baseItem="0" numFmtId="3"/>
  </dataFields>
  <formats count="27">
    <format dxfId="26">
      <pivotArea dataOnly="0" labelOnly="1" outline="0" axis="axisValues" fieldPosition="0"/>
    </format>
    <format dxfId="25">
      <pivotArea dataOnly="0" labelOnly="1" outline="0" axis="axisValues" fieldPosition="0"/>
    </format>
    <format dxfId="24">
      <pivotArea field="4" type="button" dataOnly="0" labelOnly="1" outline="0" axis="axisRow" fieldPosition="0"/>
    </format>
    <format dxfId="23">
      <pivotArea dataOnly="0" labelOnly="1" fieldPosition="0">
        <references count="1">
          <reference field="10" count="0"/>
        </references>
      </pivotArea>
    </format>
    <format dxfId="22">
      <pivotArea dataOnly="0" labelOnly="1" grandCol="1" outline="0" fieldPosition="0"/>
    </format>
    <format dxfId="21">
      <pivotArea type="origin" dataOnly="0" labelOnly="1" outline="0" fieldPosition="0"/>
    </format>
    <format dxfId="20">
      <pivotArea field="10" type="button" dataOnly="0" labelOnly="1" outline="0" axis="axisCol" fieldPosition="0"/>
    </format>
    <format dxfId="19">
      <pivotArea outline="0" collapsedLevelsAreSubtotals="1" fieldPosition="0"/>
    </format>
    <format dxfId="18">
      <pivotArea outline="0" collapsedLevelsAreSubtotals="1" fieldPosition="0"/>
    </format>
    <format dxfId="17">
      <pivotArea type="origin" dataOnly="0" labelOnly="1" outline="0" fieldPosition="0"/>
    </format>
    <format dxfId="16">
      <pivotArea field="10" type="button" dataOnly="0" labelOnly="1" outline="0" axis="axisCol" fieldPosition="0"/>
    </format>
    <format dxfId="15">
      <pivotArea type="topRight" dataOnly="0" labelOnly="1" outline="0" fieldPosition="0"/>
    </format>
    <format dxfId="14">
      <pivotArea field="4" type="button" dataOnly="0" labelOnly="1" outline="0" axis="axisRow" fieldPosition="0"/>
    </format>
    <format dxfId="13">
      <pivotArea dataOnly="0" labelOnly="1" fieldPosition="0">
        <references count="1">
          <reference field="10" count="0"/>
        </references>
      </pivotArea>
    </format>
    <format dxfId="12">
      <pivotArea dataOnly="0" labelOnly="1" grandCol="1" outline="0" fieldPosition="0"/>
    </format>
    <format dxfId="11">
      <pivotArea type="origin" dataOnly="0" labelOnly="1" outline="0" fieldPosition="0"/>
    </format>
    <format dxfId="10">
      <pivotArea field="10" type="button" dataOnly="0" labelOnly="1" outline="0" axis="axisCol" fieldPosition="0"/>
    </format>
    <format dxfId="9">
      <pivotArea type="topRight" dataOnly="0" labelOnly="1" outline="0" fieldPosition="0"/>
    </format>
    <format dxfId="8">
      <pivotArea field="4" type="button" dataOnly="0" labelOnly="1" outline="0" axis="axisRow" fieldPosition="0"/>
    </format>
    <format dxfId="7">
      <pivotArea dataOnly="0" labelOnly="1" fieldPosition="0">
        <references count="1">
          <reference field="10" count="0"/>
        </references>
      </pivotArea>
    </format>
    <format dxfId="6">
      <pivotArea dataOnly="0" labelOnly="1" grandCol="1" outline="0" fieldPosition="0"/>
    </format>
    <format dxfId="5">
      <pivotArea type="origin" dataOnly="0" labelOnly="1" outline="0" fieldPosition="0"/>
    </format>
    <format dxfId="4">
      <pivotArea field="10" type="button" dataOnly="0" labelOnly="1" outline="0" axis="axisCol" fieldPosition="0"/>
    </format>
    <format dxfId="3">
      <pivotArea type="topRight" dataOnly="0" labelOnly="1" outline="0" fieldPosition="0"/>
    </format>
    <format dxfId="2">
      <pivotArea field="4" type="button" dataOnly="0" labelOnly="1" outline="0" axis="axisRow" fieldPosition="0"/>
    </format>
    <format dxfId="1">
      <pivotArea dataOnly="0" labelOnly="1" fieldPosition="0">
        <references count="1">
          <reference field="10" count="0"/>
        </references>
      </pivotArea>
    </format>
    <format dxfId="0">
      <pivotArea dataOnly="0" labelOnly="1" grandCol="1" outline="0" fieldPosition="0"/>
    </format>
  </formats>
  <chartFormats count="8">
    <chartFormat chart="2" format="8" series="1">
      <pivotArea type="data" outline="0" fieldPosition="0">
        <references count="2">
          <reference field="4294967294" count="1" selected="0">
            <x v="0"/>
          </reference>
          <reference field="10" count="1" selected="0">
            <x v="0"/>
          </reference>
        </references>
      </pivotArea>
    </chartFormat>
    <chartFormat chart="2" format="9" series="1">
      <pivotArea type="data" outline="0" fieldPosition="0">
        <references count="2">
          <reference field="4294967294" count="1" selected="0">
            <x v="0"/>
          </reference>
          <reference field="10" count="1" selected="0">
            <x v="1"/>
          </reference>
        </references>
      </pivotArea>
    </chartFormat>
    <chartFormat chart="2" format="10" series="1">
      <pivotArea type="data" outline="0" fieldPosition="0">
        <references count="2">
          <reference field="4294967294" count="1" selected="0">
            <x v="0"/>
          </reference>
          <reference field="10" count="1" selected="0">
            <x v="2"/>
          </reference>
        </references>
      </pivotArea>
    </chartFormat>
    <chartFormat chart="2" format="11" series="1">
      <pivotArea type="data" outline="0" fieldPosition="0">
        <references count="2">
          <reference field="4294967294" count="1" selected="0">
            <x v="0"/>
          </reference>
          <reference field="10" count="1" selected="0">
            <x v="3"/>
          </reference>
        </references>
      </pivotArea>
    </chartFormat>
    <chartFormat chart="8" format="16" series="1">
      <pivotArea type="data" outline="0" fieldPosition="0">
        <references count="2">
          <reference field="4294967294" count="1" selected="0">
            <x v="0"/>
          </reference>
          <reference field="10" count="1" selected="0">
            <x v="0"/>
          </reference>
        </references>
      </pivotArea>
    </chartFormat>
    <chartFormat chart="8" format="17" series="1">
      <pivotArea type="data" outline="0" fieldPosition="0">
        <references count="2">
          <reference field="4294967294" count="1" selected="0">
            <x v="0"/>
          </reference>
          <reference field="10" count="1" selected="0">
            <x v="1"/>
          </reference>
        </references>
      </pivotArea>
    </chartFormat>
    <chartFormat chart="8" format="18" series="1">
      <pivotArea type="data" outline="0" fieldPosition="0">
        <references count="2">
          <reference field="4294967294" count="1" selected="0">
            <x v="0"/>
          </reference>
          <reference field="10" count="1" selected="0">
            <x v="2"/>
          </reference>
        </references>
      </pivotArea>
    </chartFormat>
    <chartFormat chart="8" format="19" series="1">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rowHeaderCaption="Date">
  <location ref="B18:D31" firstHeaderRow="0" firstDataRow="1" firstDataCol="1"/>
  <pivotFields count="18">
    <pivotField showAll="0"/>
    <pivotField showAll="0"/>
    <pivotField showAll="0"/>
    <pivotField axis="axisRow" showAll="0">
      <items count="22">
        <item x="5"/>
        <item x="9"/>
        <item x="6"/>
        <item x="3"/>
        <item x="0"/>
        <item x="1"/>
        <item x="8"/>
        <item x="10"/>
        <item x="11"/>
        <item x="7"/>
        <item x="2"/>
        <item x="4"/>
        <item m="1" x="17"/>
        <item m="1" x="13"/>
        <item m="1" x="18"/>
        <item m="1" x="14"/>
        <item m="1" x="19"/>
        <item m="1" x="15"/>
        <item m="1" x="20"/>
        <item m="1" x="16"/>
        <item m="1" x="12"/>
        <item t="default"/>
      </items>
    </pivotField>
    <pivotField showAll="0"/>
    <pivotField showAll="0"/>
    <pivotField showAll="0"/>
    <pivotField showAll="0"/>
    <pivotField showAll="0"/>
    <pivotField showAll="0"/>
    <pivotField showAll="0"/>
    <pivotField showAll="0"/>
    <pivotField showAll="0"/>
    <pivotField dataField="1" showAll="0" defaultSubtotal="0"/>
    <pivotField showAll="0"/>
    <pivotField dataField="1" showAll="0"/>
    <pivotField numFmtId="9" showAll="0"/>
    <pivotField dragToRow="0" dragToCol="0" dragToPage="0" showAll="0" defaultSubtotal="0"/>
  </pivotFields>
  <rowFields count="1">
    <field x="3"/>
  </rowFields>
  <rowItems count="13">
    <i>
      <x/>
    </i>
    <i>
      <x v="1"/>
    </i>
    <i>
      <x v="2"/>
    </i>
    <i>
      <x v="3"/>
    </i>
    <i>
      <x v="4"/>
    </i>
    <i>
      <x v="5"/>
    </i>
    <i>
      <x v="6"/>
    </i>
    <i>
      <x v="7"/>
    </i>
    <i>
      <x v="8"/>
    </i>
    <i>
      <x v="9"/>
    </i>
    <i>
      <x v="10"/>
    </i>
    <i>
      <x v="11"/>
    </i>
    <i t="grand">
      <x/>
    </i>
  </rowItems>
  <colFields count="1">
    <field x="-2"/>
  </colFields>
  <colItems count="2">
    <i>
      <x/>
    </i>
    <i i="1">
      <x v="1"/>
    </i>
  </colItems>
  <dataFields count="2">
    <dataField name="Revenue" fld="13" baseField="3" baseItem="6" numFmtId="165"/>
    <dataField name="Total Profit " fld="15" baseField="0" baseItem="0" numFmtId="165"/>
  </dataFields>
  <formats count="1">
    <format dxfId="27">
      <pivotArea outline="0" collapsedLevelsAreSubtotals="1" fieldPosition="0">
        <references count="1">
          <reference field="4294967294" count="2" selected="0">
            <x v="0"/>
            <x v="1"/>
          </reference>
        </references>
      </pivotArea>
    </format>
  </formats>
  <chartFormats count="4">
    <chartFormat chart="8" format="12"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rowHeaderCaption="Product">
  <location ref="B37:C46" firstHeaderRow="1" firstDataRow="1" firstDataCol="1"/>
  <pivotFields count="18">
    <pivotField showAll="0"/>
    <pivotField showAll="0"/>
    <pivotField showAll="0"/>
    <pivotField showAll="0" sortType="ascending"/>
    <pivotField axis="axisRow" showAll="0" measureFilter="1" sortType="ascending">
      <items count="9">
        <item x="3"/>
        <item x="6"/>
        <item x="4"/>
        <item x="2"/>
        <item x="1"/>
        <item x="0"/>
        <item x="5"/>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defaultSubtotal="0"/>
    <pivotField showAll="0"/>
    <pivotField showAll="0"/>
    <pivotField numFmtId="9" showAll="0"/>
    <pivotField dragToRow="0" dragToCol="0" dragToPage="0" showAll="0" defaultSubtotal="0"/>
  </pivotFields>
  <rowFields count="1">
    <field x="4"/>
  </rowFields>
  <rowItems count="9">
    <i>
      <x v="3"/>
    </i>
    <i>
      <x v="4"/>
    </i>
    <i>
      <x v="7"/>
    </i>
    <i>
      <x/>
    </i>
    <i>
      <x v="5"/>
    </i>
    <i>
      <x v="1"/>
    </i>
    <i>
      <x v="6"/>
    </i>
    <i>
      <x v="2"/>
    </i>
    <i t="grand">
      <x/>
    </i>
  </rowItems>
  <colItems count="1">
    <i/>
  </colItems>
  <dataFields count="1">
    <dataField name="Revenue" fld="13" baseField="5" baseItem="0"/>
  </dataFields>
  <formats count="5">
    <format dxfId="32">
      <pivotArea collapsedLevelsAreSubtotals="1" fieldPosition="0">
        <references count="1">
          <reference field="4" count="0"/>
        </references>
      </pivotArea>
    </format>
    <format dxfId="31">
      <pivotArea collapsedLevelsAreSubtotals="1" fieldPosition="0">
        <references count="1">
          <reference field="4" count="0"/>
        </references>
      </pivotArea>
    </format>
    <format dxfId="30">
      <pivotArea grandRow="1" outline="0" collapsedLevelsAreSubtotals="1" fieldPosition="0"/>
    </format>
    <format dxfId="29">
      <pivotArea dataOnly="0" labelOnly="1" outline="0" axis="axisValues" fieldPosition="0"/>
    </format>
    <format dxfId="28">
      <pivotArea dataOnly="0" labelOnly="1" outline="0" axis="axisValues" fieldPosition="0"/>
    </format>
  </formats>
  <chartFormats count="1">
    <chartFormat chart="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rowHeaderCaption="Brand">
  <location ref="K29:M34" firstHeaderRow="0" firstDataRow="1" firstDataCol="1"/>
  <pivotFields count="18">
    <pivotField showAll="0"/>
    <pivotField showAll="0"/>
    <pivotField showAll="0"/>
    <pivotField showAll="0" sortType="ascending"/>
    <pivotField showAll="0"/>
    <pivotField axis="axisRow" showAll="0">
      <items count="5">
        <item x="2"/>
        <item x="0"/>
        <item x="3"/>
        <item x="1"/>
        <item t="default"/>
      </items>
    </pivotField>
    <pivotField showAll="0"/>
    <pivotField showAll="0"/>
    <pivotField showAll="0" sortType="ascending">
      <autoSortScope>
        <pivotArea dataOnly="0" outline="0" fieldPosition="0">
          <references count="1">
            <reference field="4294967294" count="1" selected="0">
              <x v="1"/>
            </reference>
          </references>
        </pivotArea>
      </autoSortScope>
    </pivotField>
    <pivotField showAll="0"/>
    <pivotField showAll="0"/>
    <pivotField showAll="0"/>
    <pivotField showAll="0"/>
    <pivotField dataField="1" showAll="0" defaultSubtotal="0"/>
    <pivotField showAll="0"/>
    <pivotField dataField="1" showAll="0"/>
    <pivotField numFmtId="9" showAll="0"/>
    <pivotField dragToRow="0" dragToCol="0" dragToPage="0" showAll="0" defaultSubtotal="0"/>
  </pivotFields>
  <rowFields count="1">
    <field x="5"/>
  </rowFields>
  <rowItems count="5">
    <i>
      <x/>
    </i>
    <i>
      <x v="1"/>
    </i>
    <i>
      <x v="2"/>
    </i>
    <i>
      <x v="3"/>
    </i>
    <i t="grand">
      <x/>
    </i>
  </rowItems>
  <colFields count="1">
    <field x="-2"/>
  </colFields>
  <colItems count="2">
    <i>
      <x/>
    </i>
    <i i="1">
      <x v="1"/>
    </i>
  </colItems>
  <dataFields count="2">
    <dataField name="Revenue" fld="13" baseField="0" baseItem="0" numFmtId="165"/>
    <dataField name="Total  Profit " fld="15" baseField="0" baseItem="0" numFmtId="165"/>
  </dataFields>
  <formats count="8">
    <format dxfId="40">
      <pivotArea dataOnly="0" labelOnly="1" outline="0" axis="axisValues" fieldPosition="0"/>
    </format>
    <format dxfId="39">
      <pivotArea dataOnly="0" labelOnly="1" outline="0" axis="axisValues" fieldPosition="0"/>
    </format>
    <format dxfId="38">
      <pivotArea outline="0" collapsedLevelsAreSubtotals="1" fieldPosition="0">
        <references count="1">
          <reference field="4294967294" count="1" selected="0">
            <x v="0"/>
          </reference>
        </references>
      </pivotArea>
    </format>
    <format dxfId="37">
      <pivotArea outline="0" collapsedLevelsAreSubtotals="1" fieldPosition="0">
        <references count="1">
          <reference field="4294967294" count="1" selected="0">
            <x v="1"/>
          </reference>
        </references>
      </pivotArea>
    </format>
    <format dxfId="36">
      <pivotArea outline="0" collapsedLevelsAreSubtotals="1" fieldPosition="0">
        <references count="1">
          <reference field="4294967294" count="1" selected="0">
            <x v="1"/>
          </reference>
        </references>
      </pivotArea>
    </format>
    <format dxfId="35">
      <pivotArea outline="0" collapsedLevelsAreSubtotals="1" fieldPosition="0">
        <references count="1">
          <reference field="4294967294" count="1" selected="0">
            <x v="1"/>
          </reference>
        </references>
      </pivotArea>
    </format>
    <format dxfId="34">
      <pivotArea outline="0" collapsedLevelsAreSubtotals="1" fieldPosition="0">
        <references count="1">
          <reference field="4294967294" count="1" selected="0">
            <x v="0"/>
          </reference>
        </references>
      </pivotArea>
    </format>
    <format dxfId="33">
      <pivotArea outline="0" collapsedLevelsAreSubtotals="1" fieldPosition="0">
        <references count="1">
          <reference field="4294967294" count="1" selected="0">
            <x v="0"/>
          </reference>
        </references>
      </pivotArea>
    </format>
  </formats>
  <chartFormats count="2">
    <chartFormat chart="8" format="5"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rowHeaderCaption="Product">
  <location ref="K3:M12" firstHeaderRow="0" firstDataRow="1" firstDataCol="1"/>
  <pivotFields count="18">
    <pivotField showAll="0"/>
    <pivotField showAll="0"/>
    <pivotField showAll="0"/>
    <pivotField showAll="0" sortType="ascending"/>
    <pivotField axis="axisRow" showAll="0" sortType="descending">
      <items count="9">
        <item x="3"/>
        <item x="6"/>
        <item x="4"/>
        <item x="2"/>
        <item x="1"/>
        <item x="0"/>
        <item x="5"/>
        <item x="7"/>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defaultSubtotal="0"/>
    <pivotField showAll="0"/>
    <pivotField dataField="1" showAll="0"/>
    <pivotField numFmtId="9" showAll="0"/>
    <pivotField dataField="1" dragToRow="0" dragToCol="0" dragToPage="0" showAll="0" defaultSubtotal="0"/>
  </pivotFields>
  <rowFields count="1">
    <field x="4"/>
  </rowFields>
  <rowItems count="9">
    <i>
      <x v="3"/>
    </i>
    <i>
      <x/>
    </i>
    <i>
      <x v="4"/>
    </i>
    <i>
      <x v="5"/>
    </i>
    <i>
      <x v="6"/>
    </i>
    <i>
      <x v="2"/>
    </i>
    <i>
      <x v="7"/>
    </i>
    <i>
      <x v="1"/>
    </i>
    <i t="grand">
      <x/>
    </i>
  </rowItems>
  <colFields count="1">
    <field x="-2"/>
  </colFields>
  <colItems count="2">
    <i>
      <x/>
    </i>
    <i i="1">
      <x v="1"/>
    </i>
  </colItems>
  <dataFields count="2">
    <dataField name="Total Profit " fld="15" baseField="0" baseItem="0"/>
    <dataField name="% Actual_Margin" fld="17" baseField="5" baseItem="0" numFmtId="166"/>
  </dataFields>
  <formats count="5">
    <format dxfId="45">
      <pivotArea grandRow="1" outline="0" collapsedLevelsAreSubtotals="1" fieldPosition="0"/>
    </format>
    <format dxfId="44">
      <pivotArea outline="0" collapsedLevelsAreSubtotals="1" fieldPosition="0"/>
    </format>
    <format dxfId="43">
      <pivotArea outline="0" collapsedLevelsAreSubtotals="1" fieldPosition="0"/>
    </format>
    <format dxfId="42">
      <pivotArea dataOnly="0" labelOnly="1" outline="0" axis="axisValues" fieldPosition="0"/>
    </format>
    <format dxfId="41">
      <pivotArea outline="0" fieldPosition="0">
        <references count="1">
          <reference field="4294967294" count="1">
            <x v="1"/>
          </reference>
        </references>
      </pivotArea>
    </format>
  </formats>
  <chartFormats count="2">
    <chartFormat chart="8" format="12"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B3:E4" firstHeaderRow="0" firstDataRow="1" firstDataCol="0"/>
  <pivotFields count="18">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dataField="1" showAll="0" defaultSubtotal="0"/>
    <pivotField showAll="0"/>
    <pivotField dataField="1" showAll="0"/>
    <pivotField dataField="1" numFmtId="9" showAll="0"/>
    <pivotField dragToRow="0" dragToCol="0" dragToPage="0" showAll="0" defaultSubtotal="0"/>
  </pivotFields>
  <rowItems count="1">
    <i/>
  </rowItems>
  <colFields count="1">
    <field x="-2"/>
  </colFields>
  <colItems count="4">
    <i>
      <x/>
    </i>
    <i i="1">
      <x v="1"/>
    </i>
    <i i="2">
      <x v="2"/>
    </i>
    <i i="3">
      <x v="3"/>
    </i>
  </colItems>
  <dataFields count="4">
    <dataField name="Revenue" fld="13" baseField="0" baseItem="2" numFmtId="165"/>
    <dataField name="Total Profit " fld="15" baseField="0" baseItem="0" numFmtId="165"/>
    <dataField name="Total Profit Margin" fld="16" subtotal="average" baseField="0" baseItem="2" numFmtId="9"/>
    <dataField name="Total Quantity" fld="9" baseField="0" baseItem="0" numFmtId="164"/>
  </dataFields>
  <formats count="5">
    <format dxfId="50">
      <pivotArea outline="0" collapsedLevelsAreSubtotals="1" fieldPosition="0">
        <references count="1">
          <reference field="4294967294" count="1" selected="0">
            <x v="2"/>
          </reference>
        </references>
      </pivotArea>
    </format>
    <format dxfId="49">
      <pivotArea outline="0" collapsedLevelsAreSubtotals="1" fieldPosition="0">
        <references count="1">
          <reference field="4294967294" count="1" selected="0">
            <x v="3"/>
          </reference>
        </references>
      </pivotArea>
    </format>
    <format dxfId="48">
      <pivotArea outline="0" collapsedLevelsAreSubtotals="1" fieldPosition="0">
        <references count="1">
          <reference field="4294967294" count="1" selected="0">
            <x v="3"/>
          </reference>
        </references>
      </pivotArea>
    </format>
    <format dxfId="47">
      <pivotArea outline="0" collapsedLevelsAreSubtotals="1" fieldPosition="0">
        <references count="1">
          <reference field="4294967294" count="1" selected="0">
            <x v="3"/>
          </reference>
        </references>
      </pivotArea>
    </format>
    <format dxfId="46">
      <pivotArea outline="0" collapsedLevelsAreSubtotals="1" fieldPosition="0">
        <references count="1">
          <reference field="4294967294" count="2" selected="0">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8"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rowHeaderCaption="Category">
  <location ref="K18:M23" firstHeaderRow="0" firstDataRow="1" firstDataCol="1"/>
  <pivotFields count="18">
    <pivotField showAll="0"/>
    <pivotField showAll="0"/>
    <pivotField showAll="0"/>
    <pivotField showAll="0" sortType="ascending"/>
    <pivotField showAll="0"/>
    <pivotField axis="axisRow" showAll="0">
      <items count="5">
        <item sd="0" x="2"/>
        <item sd="0" x="0"/>
        <item sd="0" x="3"/>
        <item sd="0" x="1"/>
        <item t="default"/>
      </items>
    </pivotField>
    <pivotField showAll="0"/>
    <pivotField showAll="0">
      <items count="6">
        <item x="1"/>
        <item x="0"/>
        <item x="4"/>
        <item x="2"/>
        <item x="3"/>
        <item t="default"/>
      </items>
    </pivotField>
    <pivotField showAll="0"/>
    <pivotField showAll="0"/>
    <pivotField showAll="0"/>
    <pivotField showAll="0"/>
    <pivotField showAll="0"/>
    <pivotField dataField="1" showAll="0" defaultSubtotal="0"/>
    <pivotField showAll="0"/>
    <pivotField dataField="1" showAll="0"/>
    <pivotField numFmtId="9" showAll="0"/>
    <pivotField dragToRow="0" dragToCol="0" dragToPage="0" showAll="0" defaultSubtotal="0"/>
  </pivotFields>
  <rowFields count="1">
    <field x="5"/>
  </rowFields>
  <rowItems count="5">
    <i>
      <x/>
    </i>
    <i>
      <x v="1"/>
    </i>
    <i>
      <x v="2"/>
    </i>
    <i>
      <x v="3"/>
    </i>
    <i t="grand">
      <x/>
    </i>
  </rowItems>
  <colFields count="1">
    <field x="-2"/>
  </colFields>
  <colItems count="2">
    <i>
      <x/>
    </i>
    <i i="1">
      <x v="1"/>
    </i>
  </colItems>
  <dataFields count="2">
    <dataField name="Revenue" fld="13" baseField="0" baseItem="0"/>
    <dataField name="Total Profit " fld="15" baseField="0" baseItem="0"/>
  </dataFields>
  <formats count="5">
    <format dxfId="55">
      <pivotArea collapsedLevelsAreSubtotals="1" fieldPosition="0">
        <references count="1">
          <reference field="5" count="0"/>
        </references>
      </pivotArea>
    </format>
    <format dxfId="54">
      <pivotArea collapsedLevelsAreSubtotals="1" fieldPosition="0">
        <references count="1">
          <reference field="5" count="0"/>
        </references>
      </pivotArea>
    </format>
    <format dxfId="53">
      <pivotArea grandRow="1" outline="0" collapsedLevelsAreSubtotals="1" fieldPosition="0"/>
    </format>
    <format dxfId="52">
      <pivotArea dataOnly="0" labelOnly="1" outline="0" axis="axisValues" fieldPosition="0"/>
    </format>
    <format dxfId="51">
      <pivotArea dataOnly="0" labelOnly="1" outline="0" axis="axisValues" fieldPosition="0"/>
    </format>
  </formats>
  <chartFormats count="8">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5" count="1" selected="0">
            <x v="0"/>
          </reference>
        </references>
      </pivotArea>
    </chartFormat>
    <chartFormat chart="3" format="4">
      <pivotArea type="data" outline="0" fieldPosition="0">
        <references count="2">
          <reference field="4294967294" count="1" selected="0">
            <x v="0"/>
          </reference>
          <reference field="5" count="1" selected="0">
            <x v="1"/>
          </reference>
        </references>
      </pivotArea>
    </chartFormat>
    <chartFormat chart="3" format="5">
      <pivotArea type="data" outline="0" fieldPosition="0">
        <references count="2">
          <reference field="4294967294" count="1" selected="0">
            <x v="0"/>
          </reference>
          <reference field="5" count="1" selected="0">
            <x v="2"/>
          </reference>
        </references>
      </pivotArea>
    </chartFormat>
    <chartFormat chart="3" format="6">
      <pivotArea type="data" outline="0" fieldPosition="0">
        <references count="2">
          <reference field="4294967294" count="1" selected="0">
            <x v="0"/>
          </reference>
          <reference field="5" count="1" selected="0">
            <x v="3"/>
          </reference>
        </references>
      </pivotArea>
    </chartFormat>
    <chartFormat chart="11" format="11" series="1">
      <pivotArea type="data" outline="0" fieldPosition="0">
        <references count="1">
          <reference field="4294967294" count="1" selected="0">
            <x v="0"/>
          </reference>
        </references>
      </pivotArea>
    </chartFormat>
    <chartFormat chart="11" format="1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_Cleaned" sourceName="Category Cleaned">
  <pivotTables>
    <pivotTable tabId="8" name="PivotTable8"/>
  </pivotTables>
  <data>
    <tabular pivotCacheId="1">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Brand_Cleaned" sourceName="Brand Cleaned">
  <pivotTables>
    <pivotTable tabId="8" name="PivotTable8"/>
  </pivotTables>
  <data>
    <tabular pivotCacheId="1">
      <items count="5">
        <i x="1" s="1"/>
        <i x="0" s="1"/>
        <i x="4"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_Cleaned" caption="Category" rowHeight="241300"/>
  <slicer name="Brand" cache="Slicer_Brand_Cleaned" caption="Brand" rowHeight="241300"/>
</slicers>
</file>

<file path=xl/tables/table1.xml><?xml version="1.0" encoding="utf-8"?>
<table xmlns="http://schemas.openxmlformats.org/spreadsheetml/2006/main" id="1" name="Table1" displayName="Table1" ref="A1:Q502" totalsRowCount="1" headerRowDxfId="85" tableBorderDxfId="84">
  <autoFilter ref="A1:Q501"/>
  <tableColumns count="17">
    <tableColumn id="1" name="Date" totalsRowDxfId="83"/>
    <tableColumn id="21" name="Year" dataDxfId="82" totalsRowDxfId="81">
      <calculatedColumnFormula>RIGHT(TRIM(A2), 4)</calculatedColumnFormula>
    </tableColumn>
    <tableColumn id="20" name="Day" dataDxfId="80" totalsRowDxfId="79">
      <calculatedColumnFormula>MID(TRIM(A2), 4, 2)</calculatedColumnFormula>
    </tableColumn>
    <tableColumn id="19" name="Month" dataDxfId="78" totalsRowDxfId="77">
      <calculatedColumnFormula>TEXT(DATE(RIGHT(TRIM(A2), 4), LEFT(TRIM(A2), 2), MID(TRIM(A2), 4, 2)), "mmm")</calculatedColumnFormula>
    </tableColumn>
    <tableColumn id="2" name="Product Cleaned" dataDxfId="76" totalsRowDxfId="75"/>
    <tableColumn id="3" name="Category Cleaned" dataDxfId="74" totalsRowDxfId="73"/>
    <tableColumn id="4" name="Color" dataDxfId="72" totalsRowDxfId="71"/>
    <tableColumn id="5" name="Brand Cleaned" dataDxfId="70" totalsRowDxfId="69"/>
    <tableColumn id="6" name="Country" dataDxfId="68" totalsRowDxfId="67"/>
    <tableColumn id="7" name="Quantity" dataDxfId="66" totalsRowDxfId="65"/>
    <tableColumn id="8" name="Payment Type" dataDxfId="64" totalsRowDxfId="63"/>
    <tableColumn id="9" name="Selling Price" totalsRowDxfId="62"/>
    <tableColumn id="10" name="Cost Price" totalsRowDxfId="61">
      <calculatedColumnFormula>VLOOKUP(E2,Price!$A$2:$C$9,3,)</calculatedColumnFormula>
    </tableColumn>
    <tableColumn id="11" name="Total Revenue" totalsRowFunction="custom" dataDxfId="60" totalsRowDxfId="59">
      <calculatedColumnFormula>J2 * VALUE(SUBSTITUTE(L2,"$",""))</calculatedColumnFormula>
      <totalsRowFormula>SUM(N2:N501)</totalsRowFormula>
    </tableColumn>
    <tableColumn id="12" name="Cost" totalsRowDxfId="58">
      <calculatedColumnFormula>J2*VALUE(SUBSTITUTE(M2,"$",""))</calculatedColumnFormula>
    </tableColumn>
    <tableColumn id="13" name="Profit " totalsRowDxfId="57">
      <calculatedColumnFormula>N2-O2</calculatedColumnFormula>
    </tableColumn>
    <tableColumn id="14" name="Profit Margin" totalsRowDxfId="56" dataCellStyle="Percent">
      <calculatedColumnFormula>Table1[[#This Row],[Profit ]]/Table1[[#This Row],[Total Revenue]]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999"/>
  <sheetViews>
    <sheetView showGridLines="0" tabSelected="1" workbookViewId="0">
      <selection activeCell="D11" sqref="D11"/>
    </sheetView>
  </sheetViews>
  <sheetFormatPr defaultRowHeight="15" x14ac:dyDescent="0.25"/>
  <cols>
    <col min="1" max="1" width="9.140625" style="40"/>
    <col min="2" max="2" width="64.5703125" style="40" customWidth="1"/>
    <col min="3" max="16384" width="9.140625" style="40"/>
  </cols>
  <sheetData>
    <row r="1" spans="1:28" x14ac:dyDescent="0.25">
      <c r="A1" s="61" t="s">
        <v>220</v>
      </c>
      <c r="B1" s="61"/>
      <c r="C1" s="51"/>
      <c r="D1" s="51"/>
      <c r="E1" s="51"/>
      <c r="F1" s="51"/>
      <c r="G1" s="51"/>
      <c r="H1" s="51"/>
      <c r="I1" s="51"/>
      <c r="J1" s="51"/>
      <c r="K1" s="51"/>
      <c r="L1" s="51"/>
      <c r="M1" s="51"/>
      <c r="N1" s="51"/>
      <c r="O1" s="51"/>
      <c r="P1" s="51"/>
      <c r="Q1" s="51"/>
      <c r="R1" s="51"/>
      <c r="S1" s="51"/>
      <c r="T1" s="51"/>
      <c r="U1" s="51"/>
      <c r="V1" s="51"/>
      <c r="W1" s="51"/>
      <c r="X1" s="51"/>
      <c r="Y1" s="51"/>
      <c r="Z1" s="51"/>
      <c r="AA1" s="51"/>
      <c r="AB1" s="51"/>
    </row>
    <row r="2" spans="1:28" x14ac:dyDescent="0.25">
      <c r="A2" s="57"/>
      <c r="B2" s="51"/>
      <c r="C2" s="51"/>
      <c r="D2" s="51"/>
      <c r="E2" s="51"/>
      <c r="F2" s="51"/>
      <c r="G2" s="51"/>
      <c r="H2" s="51"/>
      <c r="I2" s="51"/>
      <c r="J2" s="51"/>
      <c r="K2" s="51"/>
      <c r="L2" s="51"/>
      <c r="M2" s="51"/>
      <c r="N2" s="51"/>
      <c r="O2" s="51"/>
      <c r="P2" s="51"/>
      <c r="Q2" s="51"/>
      <c r="R2" s="51"/>
      <c r="S2" s="51"/>
      <c r="T2" s="51"/>
      <c r="U2" s="51"/>
      <c r="V2" s="51"/>
      <c r="W2" s="51"/>
      <c r="X2" s="51"/>
      <c r="Y2" s="51"/>
      <c r="Z2" s="51"/>
      <c r="AA2" s="51"/>
      <c r="AB2" s="51"/>
    </row>
    <row r="3" spans="1:28" x14ac:dyDescent="0.25">
      <c r="A3" s="50">
        <v>1</v>
      </c>
      <c r="B3" s="14" t="s">
        <v>267</v>
      </c>
      <c r="C3" s="51"/>
      <c r="D3" s="51"/>
      <c r="E3" s="51"/>
      <c r="F3" s="51"/>
      <c r="G3" s="51"/>
      <c r="H3" s="51"/>
      <c r="I3" s="51"/>
      <c r="J3" s="51"/>
      <c r="K3" s="51"/>
      <c r="L3" s="51"/>
      <c r="M3" s="51"/>
      <c r="N3" s="51"/>
      <c r="O3" s="51"/>
      <c r="P3" s="51"/>
      <c r="Q3" s="51"/>
      <c r="R3" s="51"/>
      <c r="S3" s="51"/>
      <c r="T3" s="51"/>
      <c r="U3" s="51"/>
      <c r="V3" s="51"/>
      <c r="W3" s="51"/>
      <c r="X3" s="51"/>
      <c r="Y3" s="51"/>
      <c r="Z3" s="51"/>
      <c r="AA3" s="51"/>
      <c r="AB3" s="51"/>
    </row>
    <row r="4" spans="1:28" x14ac:dyDescent="0.25">
      <c r="A4" s="50"/>
      <c r="B4" s="14"/>
      <c r="C4" s="51"/>
      <c r="D4" s="51"/>
      <c r="E4" s="51"/>
      <c r="F4" s="51"/>
      <c r="G4" s="51"/>
      <c r="H4" s="51"/>
      <c r="I4" s="51"/>
      <c r="J4" s="51"/>
      <c r="K4" s="51"/>
      <c r="L4" s="51"/>
      <c r="M4" s="51"/>
      <c r="N4" s="51"/>
      <c r="O4" s="51"/>
      <c r="P4" s="51"/>
      <c r="Q4" s="51"/>
      <c r="R4" s="51"/>
      <c r="S4" s="51"/>
      <c r="T4" s="51"/>
      <c r="U4" s="51"/>
      <c r="V4" s="51"/>
      <c r="W4" s="51"/>
      <c r="X4" s="51"/>
      <c r="Y4" s="51"/>
      <c r="Z4" s="51"/>
      <c r="AA4" s="51"/>
      <c r="AB4" s="51"/>
    </row>
    <row r="5" spans="1:28" x14ac:dyDescent="0.25">
      <c r="A5" s="50">
        <v>2</v>
      </c>
      <c r="B5" s="14" t="s">
        <v>221</v>
      </c>
      <c r="C5" s="51"/>
      <c r="D5" s="51"/>
      <c r="E5" s="51"/>
      <c r="F5" s="51"/>
      <c r="G5" s="51"/>
      <c r="H5" s="51"/>
      <c r="I5" s="51"/>
      <c r="J5" s="51"/>
      <c r="K5" s="51"/>
      <c r="L5" s="51"/>
      <c r="M5" s="51"/>
      <c r="N5" s="51"/>
      <c r="O5" s="51"/>
      <c r="P5" s="51"/>
      <c r="Q5" s="51"/>
      <c r="R5" s="51"/>
      <c r="S5" s="51"/>
      <c r="T5" s="51"/>
      <c r="U5" s="51"/>
      <c r="V5" s="51"/>
      <c r="W5" s="51"/>
      <c r="X5" s="51"/>
      <c r="Y5" s="51"/>
      <c r="Z5" s="51"/>
      <c r="AA5" s="51"/>
      <c r="AB5" s="51"/>
    </row>
    <row r="6" spans="1:28" x14ac:dyDescent="0.25">
      <c r="A6" s="50"/>
      <c r="B6" s="14"/>
      <c r="C6" s="51"/>
      <c r="D6" s="51"/>
      <c r="E6" s="51"/>
      <c r="F6" s="51"/>
      <c r="G6" s="51"/>
      <c r="H6" s="51"/>
      <c r="I6" s="51"/>
      <c r="J6" s="51"/>
      <c r="K6" s="51"/>
      <c r="L6" s="51"/>
      <c r="M6" s="51"/>
      <c r="N6" s="51"/>
      <c r="O6" s="51"/>
      <c r="P6" s="51"/>
      <c r="Q6" s="51"/>
      <c r="R6" s="51"/>
      <c r="S6" s="51"/>
      <c r="T6" s="51"/>
      <c r="U6" s="51"/>
      <c r="V6" s="51"/>
      <c r="W6" s="51"/>
      <c r="X6" s="51"/>
      <c r="Y6" s="51"/>
      <c r="Z6" s="51"/>
      <c r="AA6" s="51"/>
      <c r="AB6" s="51"/>
    </row>
    <row r="7" spans="1:28" x14ac:dyDescent="0.25">
      <c r="A7" s="50">
        <v>3</v>
      </c>
      <c r="B7" s="14" t="s">
        <v>222</v>
      </c>
      <c r="C7" s="51"/>
      <c r="D7" s="51"/>
      <c r="E7" s="51"/>
      <c r="F7" s="51"/>
      <c r="G7" s="51"/>
      <c r="H7" s="51"/>
      <c r="I7" s="51"/>
      <c r="J7" s="51"/>
      <c r="K7" s="51"/>
      <c r="L7" s="51"/>
      <c r="M7" s="51"/>
      <c r="N7" s="51"/>
      <c r="O7" s="51"/>
      <c r="P7" s="51"/>
      <c r="Q7" s="51"/>
      <c r="R7" s="51"/>
      <c r="S7" s="51"/>
      <c r="T7" s="51"/>
      <c r="U7" s="51"/>
      <c r="V7" s="51"/>
      <c r="W7" s="51"/>
      <c r="X7" s="51"/>
      <c r="Y7" s="51"/>
      <c r="Z7" s="51"/>
      <c r="AA7" s="51"/>
      <c r="AB7" s="51"/>
    </row>
    <row r="8" spans="1:28" x14ac:dyDescent="0.25">
      <c r="A8" s="50"/>
      <c r="B8" s="14"/>
      <c r="C8" s="51"/>
      <c r="D8" s="51"/>
      <c r="E8" s="51"/>
      <c r="F8" s="51"/>
      <c r="G8" s="51"/>
      <c r="H8" s="51"/>
      <c r="I8" s="51"/>
      <c r="J8" s="51"/>
      <c r="K8" s="51"/>
      <c r="L8" s="51"/>
      <c r="M8" s="51"/>
      <c r="N8" s="51"/>
      <c r="O8" s="51"/>
      <c r="P8" s="51"/>
      <c r="Q8" s="51"/>
      <c r="R8" s="51"/>
      <c r="S8" s="51"/>
      <c r="T8" s="51"/>
      <c r="U8" s="51"/>
      <c r="V8" s="51"/>
      <c r="W8" s="51"/>
      <c r="X8" s="51"/>
      <c r="Y8" s="51"/>
      <c r="Z8" s="51"/>
      <c r="AA8" s="51"/>
      <c r="AB8" s="51"/>
    </row>
    <row r="9" spans="1:28" x14ac:dyDescent="0.25">
      <c r="A9" s="50">
        <v>4</v>
      </c>
      <c r="B9" s="14" t="s">
        <v>223</v>
      </c>
      <c r="C9" s="51"/>
      <c r="D9" s="51"/>
      <c r="E9" s="51"/>
      <c r="F9" s="51"/>
      <c r="G9" s="51"/>
      <c r="H9" s="51"/>
      <c r="I9" s="51"/>
      <c r="J9" s="51"/>
      <c r="K9" s="51"/>
      <c r="L9" s="51"/>
      <c r="M9" s="51"/>
      <c r="N9" s="51"/>
      <c r="O9" s="51"/>
      <c r="P9" s="51"/>
      <c r="Q9" s="51"/>
      <c r="R9" s="51"/>
      <c r="S9" s="51"/>
      <c r="T9" s="51"/>
      <c r="U9" s="51"/>
      <c r="V9" s="51"/>
      <c r="W9" s="51"/>
      <c r="X9" s="51"/>
      <c r="Y9" s="51"/>
      <c r="Z9" s="51"/>
      <c r="AA9" s="51"/>
      <c r="AB9" s="51"/>
    </row>
    <row r="10" spans="1:28" x14ac:dyDescent="0.25">
      <c r="A10" s="50"/>
      <c r="B10" s="14"/>
      <c r="C10" s="51"/>
      <c r="D10" s="51"/>
      <c r="E10" s="51"/>
      <c r="F10" s="51"/>
      <c r="G10" s="51"/>
      <c r="H10" s="51"/>
      <c r="I10" s="51"/>
      <c r="J10" s="51"/>
      <c r="K10" s="51"/>
      <c r="L10" s="51"/>
      <c r="M10" s="51"/>
      <c r="N10" s="51"/>
      <c r="O10" s="51"/>
      <c r="P10" s="51"/>
      <c r="Q10" s="51"/>
      <c r="R10" s="51"/>
      <c r="S10" s="51"/>
      <c r="T10" s="51"/>
      <c r="U10" s="51"/>
      <c r="V10" s="51"/>
      <c r="W10" s="51"/>
      <c r="X10" s="51"/>
      <c r="Y10" s="51"/>
      <c r="Z10" s="51"/>
      <c r="AA10" s="51"/>
      <c r="AB10" s="51"/>
    </row>
    <row r="11" spans="1:28" x14ac:dyDescent="0.25">
      <c r="A11" s="50">
        <v>5</v>
      </c>
      <c r="B11" s="14" t="s">
        <v>224</v>
      </c>
      <c r="C11" s="51"/>
      <c r="D11" s="51"/>
      <c r="E11" s="51"/>
      <c r="F11" s="51"/>
      <c r="G11" s="51"/>
      <c r="H11" s="51"/>
      <c r="I11" s="51"/>
      <c r="J11" s="51"/>
      <c r="K11" s="51"/>
      <c r="L11" s="51"/>
      <c r="M11" s="51"/>
      <c r="N11" s="51"/>
      <c r="O11" s="51"/>
      <c r="P11" s="51"/>
      <c r="Q11" s="51"/>
      <c r="R11" s="51"/>
      <c r="S11" s="51"/>
      <c r="T11" s="51"/>
      <c r="U11" s="51"/>
      <c r="V11" s="51"/>
      <c r="W11" s="51"/>
      <c r="X11" s="51"/>
      <c r="Y11" s="51"/>
      <c r="Z11" s="51"/>
      <c r="AA11" s="51"/>
      <c r="AB11" s="51"/>
    </row>
    <row r="12" spans="1:28" x14ac:dyDescent="0.25">
      <c r="A12" s="50"/>
      <c r="B12" s="14"/>
      <c r="C12" s="51"/>
      <c r="D12" s="51"/>
      <c r="E12" s="51"/>
      <c r="F12" s="51"/>
      <c r="G12" s="51"/>
      <c r="H12" s="51"/>
      <c r="I12" s="51"/>
      <c r="J12" s="51"/>
      <c r="K12" s="51"/>
      <c r="L12" s="51"/>
      <c r="M12" s="51"/>
      <c r="N12" s="51"/>
      <c r="O12" s="51"/>
      <c r="P12" s="51"/>
      <c r="Q12" s="51"/>
      <c r="R12" s="51"/>
      <c r="S12" s="51"/>
      <c r="T12" s="51"/>
      <c r="U12" s="51"/>
      <c r="V12" s="51"/>
      <c r="W12" s="51"/>
      <c r="X12" s="51"/>
      <c r="Y12" s="51"/>
      <c r="Z12" s="51"/>
      <c r="AA12" s="51"/>
      <c r="AB12" s="51"/>
    </row>
    <row r="13" spans="1:28" x14ac:dyDescent="0.25">
      <c r="A13" s="50">
        <v>6</v>
      </c>
      <c r="B13" s="14" t="s">
        <v>225</v>
      </c>
      <c r="C13" s="51"/>
      <c r="D13" s="51"/>
      <c r="E13" s="51"/>
      <c r="F13" s="51"/>
      <c r="G13" s="51"/>
      <c r="H13" s="51"/>
      <c r="I13" s="51"/>
      <c r="J13" s="51"/>
      <c r="K13" s="51"/>
      <c r="L13" s="51"/>
      <c r="M13" s="51"/>
      <c r="N13" s="51"/>
      <c r="O13" s="51"/>
      <c r="P13" s="51"/>
      <c r="Q13" s="51"/>
      <c r="R13" s="51"/>
      <c r="S13" s="51"/>
      <c r="T13" s="51"/>
      <c r="U13" s="51"/>
      <c r="V13" s="51"/>
      <c r="W13" s="51"/>
      <c r="X13" s="51"/>
      <c r="Y13" s="51"/>
      <c r="Z13" s="51"/>
      <c r="AA13" s="51"/>
      <c r="AB13" s="51"/>
    </row>
    <row r="14" spans="1:28" x14ac:dyDescent="0.25">
      <c r="A14" s="50"/>
      <c r="B14" s="14"/>
      <c r="C14" s="51"/>
      <c r="D14" s="51"/>
      <c r="E14" s="51"/>
      <c r="F14" s="51"/>
      <c r="G14" s="51"/>
      <c r="H14" s="51"/>
      <c r="I14" s="51"/>
      <c r="J14" s="51"/>
      <c r="K14" s="51"/>
      <c r="L14" s="51"/>
      <c r="M14" s="51"/>
      <c r="N14" s="51"/>
      <c r="O14" s="51"/>
      <c r="P14" s="51"/>
      <c r="Q14" s="51"/>
      <c r="R14" s="51"/>
      <c r="S14" s="51"/>
      <c r="T14" s="51"/>
      <c r="U14" s="51"/>
      <c r="V14" s="51"/>
      <c r="W14" s="51"/>
      <c r="X14" s="51"/>
      <c r="Y14" s="51"/>
      <c r="Z14" s="51"/>
      <c r="AA14" s="51"/>
      <c r="AB14" s="51"/>
    </row>
    <row r="15" spans="1:28" ht="30" x14ac:dyDescent="0.25">
      <c r="A15" s="50">
        <v>7</v>
      </c>
      <c r="B15" s="14" t="s">
        <v>226</v>
      </c>
      <c r="C15" s="51"/>
      <c r="D15" s="51"/>
      <c r="E15" s="51"/>
      <c r="F15" s="51"/>
      <c r="G15" s="51"/>
      <c r="H15" s="51"/>
      <c r="I15" s="51"/>
      <c r="J15" s="51"/>
      <c r="K15" s="51"/>
      <c r="L15" s="51"/>
      <c r="M15" s="51"/>
      <c r="N15" s="51"/>
      <c r="O15" s="51"/>
      <c r="P15" s="51"/>
      <c r="Q15" s="51"/>
      <c r="R15" s="51"/>
      <c r="S15" s="51"/>
      <c r="T15" s="51"/>
      <c r="U15" s="51"/>
      <c r="V15" s="51"/>
      <c r="W15" s="51"/>
      <c r="X15" s="51"/>
      <c r="Y15" s="51"/>
      <c r="Z15" s="51"/>
      <c r="AA15" s="51"/>
      <c r="AB15" s="51"/>
    </row>
    <row r="16" spans="1:28" x14ac:dyDescent="0.25">
      <c r="A16" s="50"/>
      <c r="B16" s="14"/>
      <c r="C16" s="51"/>
      <c r="D16" s="51"/>
      <c r="E16" s="51"/>
      <c r="F16" s="51"/>
      <c r="G16" s="51"/>
      <c r="H16" s="51"/>
      <c r="I16" s="51"/>
      <c r="J16" s="51"/>
      <c r="K16" s="51"/>
      <c r="L16" s="51"/>
      <c r="M16" s="51"/>
      <c r="N16" s="51"/>
      <c r="O16" s="51"/>
      <c r="P16" s="51"/>
      <c r="Q16" s="51"/>
      <c r="R16" s="51"/>
      <c r="S16" s="51"/>
      <c r="T16" s="51"/>
      <c r="U16" s="51"/>
      <c r="V16" s="51"/>
      <c r="W16" s="51"/>
      <c r="X16" s="51"/>
      <c r="Y16" s="51"/>
      <c r="Z16" s="51"/>
      <c r="AA16" s="51"/>
      <c r="AB16" s="51"/>
    </row>
    <row r="17" spans="1:28" x14ac:dyDescent="0.25">
      <c r="A17" s="50">
        <v>8</v>
      </c>
      <c r="B17" s="14" t="s">
        <v>227</v>
      </c>
      <c r="C17" s="51"/>
      <c r="D17" s="51"/>
      <c r="E17" s="51"/>
      <c r="F17" s="51"/>
      <c r="G17" s="51"/>
      <c r="H17" s="51"/>
      <c r="I17" s="51"/>
      <c r="J17" s="51"/>
      <c r="K17" s="51"/>
      <c r="L17" s="51"/>
      <c r="M17" s="51"/>
      <c r="N17" s="51"/>
      <c r="O17" s="51"/>
      <c r="P17" s="51"/>
      <c r="Q17" s="51"/>
      <c r="R17" s="51"/>
      <c r="S17" s="51"/>
      <c r="T17" s="51"/>
      <c r="U17" s="51"/>
      <c r="V17" s="51"/>
      <c r="W17" s="51"/>
      <c r="X17" s="51"/>
      <c r="Y17" s="51"/>
      <c r="Z17" s="51"/>
      <c r="AA17" s="51"/>
      <c r="AB17" s="51"/>
    </row>
    <row r="18" spans="1:28" x14ac:dyDescent="0.25">
      <c r="B18" s="51"/>
      <c r="C18" s="51"/>
      <c r="D18" s="51"/>
      <c r="E18" s="51"/>
      <c r="F18" s="51"/>
      <c r="G18" s="51"/>
      <c r="H18" s="51"/>
      <c r="I18" s="51"/>
      <c r="J18" s="51"/>
      <c r="K18" s="51"/>
      <c r="L18" s="51"/>
      <c r="M18" s="51"/>
      <c r="N18" s="51"/>
      <c r="O18" s="51"/>
      <c r="P18" s="51"/>
      <c r="Q18" s="51"/>
      <c r="R18" s="51"/>
      <c r="S18" s="51"/>
      <c r="T18" s="51"/>
      <c r="U18" s="51"/>
      <c r="V18" s="51"/>
      <c r="W18" s="51"/>
      <c r="X18" s="51"/>
      <c r="Y18" s="51"/>
      <c r="Z18" s="51"/>
      <c r="AA18" s="51"/>
      <c r="AB18" s="51"/>
    </row>
    <row r="19" spans="1:28" x14ac:dyDescent="0.25">
      <c r="B19" s="51"/>
      <c r="C19" s="51"/>
      <c r="D19" s="51"/>
      <c r="E19" s="51"/>
      <c r="F19" s="51"/>
      <c r="G19" s="51"/>
      <c r="H19" s="51"/>
      <c r="I19" s="51"/>
      <c r="J19" s="51"/>
      <c r="K19" s="51"/>
      <c r="L19" s="51"/>
      <c r="M19" s="51"/>
      <c r="N19" s="51"/>
      <c r="O19" s="51"/>
      <c r="P19" s="51"/>
      <c r="Q19" s="51"/>
      <c r="R19" s="51"/>
      <c r="S19" s="51"/>
      <c r="T19" s="51"/>
      <c r="U19" s="51"/>
      <c r="V19" s="51"/>
      <c r="W19" s="51"/>
      <c r="X19" s="51"/>
      <c r="Y19" s="51"/>
      <c r="Z19" s="51"/>
      <c r="AA19" s="51"/>
      <c r="AB19" s="51"/>
    </row>
    <row r="20" spans="1:28" x14ac:dyDescent="0.25">
      <c r="B20" s="51"/>
      <c r="C20" s="51"/>
      <c r="D20" s="51"/>
      <c r="E20" s="51"/>
      <c r="F20" s="51"/>
      <c r="G20" s="51"/>
      <c r="H20" s="51"/>
      <c r="I20" s="51"/>
      <c r="J20" s="51"/>
      <c r="K20" s="51"/>
      <c r="L20" s="51"/>
      <c r="M20" s="51"/>
      <c r="N20" s="51"/>
      <c r="O20" s="51"/>
      <c r="P20" s="51"/>
      <c r="Q20" s="51"/>
      <c r="R20" s="51"/>
      <c r="S20" s="51"/>
      <c r="T20" s="51"/>
      <c r="U20" s="51"/>
      <c r="V20" s="51"/>
      <c r="W20" s="51"/>
      <c r="X20" s="51"/>
      <c r="Y20" s="51"/>
      <c r="Z20" s="51"/>
      <c r="AA20" s="51"/>
      <c r="AB20" s="51"/>
    </row>
    <row r="21" spans="1:28" x14ac:dyDescent="0.25">
      <c r="B21" s="51"/>
      <c r="C21" s="51"/>
      <c r="D21" s="51"/>
      <c r="E21" s="51"/>
      <c r="F21" s="51"/>
      <c r="G21" s="51"/>
      <c r="H21" s="51"/>
      <c r="I21" s="51"/>
      <c r="J21" s="51"/>
      <c r="K21" s="51"/>
      <c r="L21" s="51"/>
      <c r="M21" s="51"/>
      <c r="N21" s="51"/>
      <c r="O21" s="51"/>
      <c r="P21" s="51"/>
      <c r="Q21" s="51"/>
      <c r="R21" s="51"/>
      <c r="S21" s="51"/>
      <c r="T21" s="51"/>
      <c r="U21" s="51"/>
      <c r="V21" s="51"/>
      <c r="W21" s="51"/>
      <c r="X21" s="51"/>
      <c r="Y21" s="51"/>
      <c r="Z21" s="51"/>
      <c r="AA21" s="51"/>
      <c r="AB21" s="51"/>
    </row>
    <row r="22" spans="1:28" x14ac:dyDescent="0.25">
      <c r="B22" s="51"/>
      <c r="C22" s="51"/>
      <c r="D22" s="51"/>
      <c r="E22" s="51"/>
      <c r="F22" s="51"/>
      <c r="G22" s="51"/>
      <c r="H22" s="51"/>
      <c r="I22" s="51"/>
      <c r="J22" s="51"/>
      <c r="K22" s="51"/>
      <c r="L22" s="51"/>
      <c r="M22" s="51"/>
      <c r="N22" s="51"/>
      <c r="O22" s="51"/>
      <c r="P22" s="51"/>
      <c r="Q22" s="51"/>
      <c r="R22" s="51"/>
      <c r="S22" s="51"/>
      <c r="T22" s="51"/>
      <c r="U22" s="51"/>
      <c r="V22" s="51"/>
      <c r="W22" s="51"/>
      <c r="X22" s="51"/>
      <c r="Y22" s="51"/>
      <c r="Z22" s="51"/>
      <c r="AA22" s="51"/>
      <c r="AB22" s="51"/>
    </row>
    <row r="23" spans="1:28" x14ac:dyDescent="0.25">
      <c r="B23" s="51"/>
      <c r="C23" s="51"/>
      <c r="D23" s="51"/>
      <c r="E23" s="51"/>
      <c r="F23" s="51"/>
      <c r="G23" s="51"/>
      <c r="H23" s="51"/>
      <c r="I23" s="51"/>
      <c r="J23" s="51"/>
      <c r="K23" s="51"/>
      <c r="L23" s="51"/>
      <c r="M23" s="51"/>
      <c r="N23" s="51"/>
      <c r="O23" s="51"/>
      <c r="P23" s="51"/>
      <c r="Q23" s="51"/>
      <c r="R23" s="51"/>
      <c r="S23" s="51"/>
      <c r="T23" s="51"/>
      <c r="U23" s="51"/>
      <c r="V23" s="51"/>
      <c r="W23" s="51"/>
      <c r="X23" s="51"/>
      <c r="Y23" s="51"/>
      <c r="Z23" s="51"/>
      <c r="AA23" s="51"/>
      <c r="AB23" s="51"/>
    </row>
    <row r="24" spans="1:28" x14ac:dyDescent="0.25">
      <c r="B24" s="51"/>
      <c r="C24" s="51"/>
      <c r="D24" s="51"/>
      <c r="E24" s="51"/>
      <c r="F24" s="51"/>
      <c r="G24" s="51"/>
      <c r="H24" s="51"/>
      <c r="I24" s="51"/>
      <c r="J24" s="51"/>
      <c r="K24" s="51"/>
      <c r="L24" s="51"/>
      <c r="M24" s="51"/>
      <c r="N24" s="51"/>
      <c r="O24" s="51"/>
      <c r="P24" s="51"/>
      <c r="Q24" s="51"/>
      <c r="R24" s="51"/>
      <c r="S24" s="51"/>
      <c r="T24" s="51"/>
      <c r="U24" s="51"/>
      <c r="V24" s="51"/>
      <c r="W24" s="51"/>
      <c r="X24" s="51"/>
      <c r="Y24" s="51"/>
      <c r="Z24" s="51"/>
      <c r="AA24" s="51"/>
      <c r="AB24" s="51"/>
    </row>
    <row r="25" spans="1:28" x14ac:dyDescent="0.25">
      <c r="B25" s="51"/>
      <c r="C25" s="51"/>
      <c r="D25" s="51"/>
      <c r="E25" s="51"/>
      <c r="F25" s="51"/>
      <c r="G25" s="51"/>
      <c r="H25" s="51"/>
      <c r="I25" s="51"/>
      <c r="J25" s="51"/>
      <c r="K25" s="51"/>
      <c r="L25" s="51"/>
      <c r="M25" s="51"/>
      <c r="N25" s="51"/>
      <c r="O25" s="51"/>
      <c r="P25" s="51"/>
      <c r="Q25" s="51"/>
      <c r="R25" s="51"/>
      <c r="S25" s="51"/>
      <c r="T25" s="51"/>
      <c r="U25" s="51"/>
      <c r="V25" s="51"/>
      <c r="W25" s="51"/>
      <c r="X25" s="51"/>
      <c r="Y25" s="51"/>
      <c r="Z25" s="51"/>
      <c r="AA25" s="51"/>
      <c r="AB25" s="51"/>
    </row>
    <row r="26" spans="1:28" x14ac:dyDescent="0.25">
      <c r="B26" s="51"/>
      <c r="C26" s="51"/>
      <c r="D26" s="51"/>
      <c r="E26" s="51"/>
      <c r="F26" s="51"/>
      <c r="G26" s="51"/>
      <c r="H26" s="51"/>
      <c r="I26" s="51"/>
      <c r="J26" s="51"/>
      <c r="K26" s="51"/>
      <c r="L26" s="51"/>
      <c r="M26" s="51"/>
      <c r="N26" s="51"/>
      <c r="O26" s="51"/>
      <c r="P26" s="51"/>
      <c r="Q26" s="51"/>
      <c r="R26" s="51"/>
      <c r="S26" s="51"/>
      <c r="T26" s="51"/>
      <c r="U26" s="51"/>
      <c r="V26" s="51"/>
      <c r="W26" s="51"/>
      <c r="X26" s="51"/>
      <c r="Y26" s="51"/>
      <c r="Z26" s="51"/>
      <c r="AA26" s="51"/>
      <c r="AB26" s="51"/>
    </row>
    <row r="27" spans="1:28" x14ac:dyDescent="0.25">
      <c r="B27" s="51"/>
      <c r="C27" s="51"/>
      <c r="D27" s="51"/>
      <c r="E27" s="51"/>
      <c r="F27" s="51"/>
      <c r="G27" s="51"/>
      <c r="H27" s="51"/>
      <c r="I27" s="51"/>
      <c r="J27" s="51"/>
      <c r="K27" s="51"/>
      <c r="L27" s="51"/>
      <c r="M27" s="51"/>
      <c r="N27" s="51"/>
      <c r="O27" s="51"/>
      <c r="P27" s="51"/>
      <c r="Q27" s="51"/>
      <c r="R27" s="51"/>
      <c r="S27" s="51"/>
      <c r="T27" s="51"/>
      <c r="U27" s="51"/>
      <c r="V27" s="51"/>
      <c r="W27" s="51"/>
      <c r="X27" s="51"/>
      <c r="Y27" s="51"/>
      <c r="Z27" s="51"/>
      <c r="AA27" s="51"/>
      <c r="AB27" s="51"/>
    </row>
    <row r="28" spans="1:28" x14ac:dyDescent="0.25">
      <c r="B28" s="51"/>
      <c r="C28" s="51"/>
      <c r="D28" s="51"/>
      <c r="E28" s="51"/>
      <c r="F28" s="51"/>
      <c r="G28" s="51"/>
      <c r="H28" s="51"/>
      <c r="I28" s="51"/>
      <c r="J28" s="51"/>
      <c r="K28" s="51"/>
      <c r="L28" s="51"/>
      <c r="M28" s="51"/>
      <c r="N28" s="51"/>
      <c r="O28" s="51"/>
      <c r="P28" s="51"/>
      <c r="Q28" s="51"/>
      <c r="R28" s="51"/>
      <c r="S28" s="51"/>
      <c r="T28" s="51"/>
      <c r="U28" s="51"/>
      <c r="V28" s="51"/>
      <c r="W28" s="51"/>
      <c r="X28" s="51"/>
      <c r="Y28" s="51"/>
      <c r="Z28" s="51"/>
      <c r="AA28" s="51"/>
      <c r="AB28" s="51"/>
    </row>
    <row r="29" spans="1:28" x14ac:dyDescent="0.25">
      <c r="B29" s="51"/>
      <c r="C29" s="51"/>
      <c r="D29" s="51"/>
      <c r="E29" s="51"/>
      <c r="F29" s="51"/>
      <c r="G29" s="51"/>
      <c r="H29" s="51"/>
      <c r="I29" s="51"/>
      <c r="J29" s="51"/>
      <c r="K29" s="51"/>
      <c r="L29" s="51"/>
      <c r="M29" s="51"/>
      <c r="N29" s="51"/>
      <c r="O29" s="51"/>
      <c r="P29" s="51"/>
      <c r="Q29" s="51"/>
      <c r="R29" s="51"/>
      <c r="S29" s="51"/>
      <c r="T29" s="51"/>
      <c r="U29" s="51"/>
      <c r="V29" s="51"/>
      <c r="W29" s="51"/>
      <c r="X29" s="51"/>
      <c r="Y29" s="51"/>
      <c r="Z29" s="51"/>
      <c r="AA29" s="51"/>
      <c r="AB29" s="51"/>
    </row>
    <row r="30" spans="1:28" x14ac:dyDescent="0.25">
      <c r="B30" s="51"/>
      <c r="C30" s="51"/>
      <c r="D30" s="51"/>
      <c r="E30" s="51"/>
      <c r="F30" s="51"/>
      <c r="G30" s="51"/>
      <c r="H30" s="51"/>
      <c r="I30" s="51"/>
      <c r="J30" s="51"/>
      <c r="K30" s="51"/>
      <c r="L30" s="51"/>
      <c r="M30" s="51"/>
      <c r="N30" s="51"/>
      <c r="O30" s="51"/>
      <c r="P30" s="51"/>
      <c r="Q30" s="51"/>
      <c r="R30" s="51"/>
      <c r="S30" s="51"/>
      <c r="T30" s="51"/>
      <c r="U30" s="51"/>
      <c r="V30" s="51"/>
      <c r="W30" s="51"/>
      <c r="X30" s="51"/>
      <c r="Y30" s="51"/>
      <c r="Z30" s="51"/>
      <c r="AA30" s="51"/>
      <c r="AB30" s="51"/>
    </row>
    <row r="31" spans="1:28" x14ac:dyDescent="0.25">
      <c r="B31" s="51"/>
      <c r="C31" s="51"/>
      <c r="D31" s="51"/>
      <c r="E31" s="51"/>
      <c r="F31" s="51"/>
      <c r="G31" s="51"/>
      <c r="H31" s="51"/>
      <c r="I31" s="51"/>
      <c r="J31" s="51"/>
      <c r="K31" s="51"/>
      <c r="L31" s="51"/>
      <c r="M31" s="51"/>
      <c r="N31" s="51"/>
      <c r="O31" s="51"/>
      <c r="P31" s="51"/>
      <c r="Q31" s="51"/>
      <c r="R31" s="51"/>
      <c r="S31" s="51"/>
      <c r="T31" s="51"/>
      <c r="U31" s="51"/>
      <c r="V31" s="51"/>
      <c r="W31" s="51"/>
      <c r="X31" s="51"/>
      <c r="Y31" s="51"/>
      <c r="Z31" s="51"/>
      <c r="AA31" s="51"/>
      <c r="AB31" s="51"/>
    </row>
    <row r="32" spans="1:28" x14ac:dyDescent="0.25">
      <c r="B32" s="51"/>
      <c r="C32" s="51"/>
      <c r="D32" s="51"/>
      <c r="E32" s="51"/>
      <c r="F32" s="51"/>
      <c r="G32" s="51"/>
      <c r="H32" s="51"/>
      <c r="I32" s="51"/>
      <c r="J32" s="51"/>
      <c r="K32" s="51"/>
      <c r="L32" s="51"/>
      <c r="M32" s="51"/>
      <c r="N32" s="51"/>
      <c r="O32" s="51"/>
      <c r="P32" s="51"/>
      <c r="Q32" s="51"/>
      <c r="R32" s="51"/>
      <c r="S32" s="51"/>
      <c r="T32" s="51"/>
      <c r="U32" s="51"/>
      <c r="V32" s="51"/>
      <c r="W32" s="51"/>
      <c r="X32" s="51"/>
      <c r="Y32" s="51"/>
      <c r="Z32" s="51"/>
      <c r="AA32" s="51"/>
      <c r="AB32" s="51"/>
    </row>
    <row r="33" spans="2:28" x14ac:dyDescent="0.25">
      <c r="B33" s="51"/>
      <c r="C33" s="51"/>
      <c r="D33" s="51"/>
      <c r="E33" s="51"/>
      <c r="F33" s="51"/>
      <c r="G33" s="51"/>
      <c r="H33" s="51"/>
      <c r="I33" s="51"/>
      <c r="J33" s="51"/>
      <c r="K33" s="51"/>
      <c r="L33" s="51"/>
      <c r="M33" s="51"/>
      <c r="N33" s="51"/>
      <c r="O33" s="51"/>
      <c r="P33" s="51"/>
      <c r="Q33" s="51"/>
      <c r="R33" s="51"/>
      <c r="S33" s="51"/>
      <c r="T33" s="51"/>
      <c r="U33" s="51"/>
      <c r="V33" s="51"/>
      <c r="W33" s="51"/>
      <c r="X33" s="51"/>
      <c r="Y33" s="51"/>
      <c r="Z33" s="51"/>
      <c r="AA33" s="51"/>
      <c r="AB33" s="51"/>
    </row>
    <row r="34" spans="2:28" x14ac:dyDescent="0.25">
      <c r="B34" s="51"/>
      <c r="C34" s="51"/>
      <c r="D34" s="51"/>
      <c r="E34" s="51"/>
      <c r="F34" s="51"/>
      <c r="G34" s="51"/>
      <c r="H34" s="51"/>
      <c r="I34" s="51"/>
      <c r="J34" s="51"/>
      <c r="K34" s="51"/>
      <c r="L34" s="51"/>
      <c r="M34" s="51"/>
      <c r="N34" s="51"/>
      <c r="O34" s="51"/>
      <c r="P34" s="51"/>
      <c r="Q34" s="51"/>
      <c r="R34" s="51"/>
      <c r="S34" s="51"/>
      <c r="T34" s="51"/>
      <c r="U34" s="51"/>
      <c r="V34" s="51"/>
      <c r="W34" s="51"/>
      <c r="X34" s="51"/>
      <c r="Y34" s="51"/>
      <c r="Z34" s="51"/>
      <c r="AA34" s="51"/>
      <c r="AB34" s="51"/>
    </row>
    <row r="35" spans="2:28" x14ac:dyDescent="0.25">
      <c r="B35" s="51"/>
      <c r="C35" s="51"/>
      <c r="D35" s="51"/>
      <c r="E35" s="51"/>
      <c r="F35" s="51"/>
      <c r="G35" s="51"/>
      <c r="H35" s="51"/>
      <c r="I35" s="51"/>
      <c r="J35" s="51"/>
      <c r="K35" s="51"/>
      <c r="L35" s="51"/>
      <c r="M35" s="51"/>
      <c r="N35" s="51"/>
      <c r="O35" s="51"/>
      <c r="P35" s="51"/>
      <c r="Q35" s="51"/>
      <c r="R35" s="51"/>
      <c r="S35" s="51"/>
      <c r="T35" s="51"/>
      <c r="U35" s="51"/>
      <c r="V35" s="51"/>
      <c r="W35" s="51"/>
      <c r="X35" s="51"/>
      <c r="Y35" s="51"/>
      <c r="Z35" s="51"/>
      <c r="AA35" s="51"/>
      <c r="AB35" s="51"/>
    </row>
    <row r="36" spans="2:28" x14ac:dyDescent="0.25">
      <c r="B36" s="51"/>
      <c r="C36" s="51"/>
      <c r="D36" s="51"/>
      <c r="E36" s="51"/>
      <c r="F36" s="51"/>
      <c r="G36" s="51"/>
      <c r="H36" s="51"/>
      <c r="I36" s="51"/>
      <c r="J36" s="51"/>
      <c r="K36" s="51"/>
      <c r="L36" s="51"/>
      <c r="M36" s="51"/>
      <c r="N36" s="51"/>
      <c r="O36" s="51"/>
      <c r="P36" s="51"/>
      <c r="Q36" s="51"/>
      <c r="R36" s="51"/>
      <c r="S36" s="51"/>
      <c r="T36" s="51"/>
      <c r="U36" s="51"/>
      <c r="V36" s="51"/>
      <c r="W36" s="51"/>
      <c r="X36" s="51"/>
      <c r="Y36" s="51"/>
      <c r="Z36" s="51"/>
      <c r="AA36" s="51"/>
      <c r="AB36" s="51"/>
    </row>
    <row r="37" spans="2:28" x14ac:dyDescent="0.25">
      <c r="B37" s="51"/>
      <c r="C37" s="51"/>
      <c r="D37" s="51"/>
      <c r="E37" s="51"/>
      <c r="F37" s="51"/>
      <c r="G37" s="51"/>
      <c r="H37" s="51"/>
      <c r="I37" s="51"/>
      <c r="J37" s="51"/>
      <c r="K37" s="51"/>
      <c r="L37" s="51"/>
      <c r="M37" s="51"/>
      <c r="N37" s="51"/>
      <c r="O37" s="51"/>
      <c r="P37" s="51"/>
      <c r="Q37" s="51"/>
      <c r="R37" s="51"/>
      <c r="S37" s="51"/>
      <c r="T37" s="51"/>
      <c r="U37" s="51"/>
      <c r="V37" s="51"/>
      <c r="W37" s="51"/>
      <c r="X37" s="51"/>
      <c r="Y37" s="51"/>
      <c r="Z37" s="51"/>
      <c r="AA37" s="51"/>
      <c r="AB37" s="51"/>
    </row>
    <row r="38" spans="2:28" x14ac:dyDescent="0.25">
      <c r="B38" s="51"/>
      <c r="C38" s="51"/>
      <c r="D38" s="51"/>
      <c r="E38" s="51"/>
      <c r="F38" s="51"/>
      <c r="G38" s="51"/>
      <c r="H38" s="51"/>
      <c r="I38" s="51"/>
      <c r="J38" s="51"/>
      <c r="K38" s="51"/>
      <c r="L38" s="51"/>
      <c r="M38" s="51"/>
      <c r="N38" s="51"/>
      <c r="O38" s="51"/>
      <c r="P38" s="51"/>
      <c r="Q38" s="51"/>
      <c r="R38" s="51"/>
      <c r="S38" s="51"/>
      <c r="T38" s="51"/>
      <c r="U38" s="51"/>
      <c r="V38" s="51"/>
      <c r="W38" s="51"/>
      <c r="X38" s="51"/>
      <c r="Y38" s="51"/>
      <c r="Z38" s="51"/>
      <c r="AA38" s="51"/>
      <c r="AB38" s="51"/>
    </row>
    <row r="39" spans="2:28" x14ac:dyDescent="0.25">
      <c r="B39" s="51"/>
      <c r="C39" s="51"/>
      <c r="D39" s="51"/>
      <c r="E39" s="51"/>
      <c r="F39" s="51"/>
      <c r="G39" s="51"/>
      <c r="H39" s="51"/>
      <c r="I39" s="51"/>
      <c r="J39" s="51"/>
      <c r="K39" s="51"/>
      <c r="L39" s="51"/>
      <c r="M39" s="51"/>
      <c r="N39" s="51"/>
      <c r="O39" s="51"/>
      <c r="P39" s="51"/>
      <c r="Q39" s="51"/>
      <c r="R39" s="51"/>
      <c r="S39" s="51"/>
      <c r="T39" s="51"/>
      <c r="U39" s="51"/>
      <c r="V39" s="51"/>
      <c r="W39" s="51"/>
      <c r="X39" s="51"/>
      <c r="Y39" s="51"/>
      <c r="Z39" s="51"/>
      <c r="AA39" s="51"/>
      <c r="AB39" s="51"/>
    </row>
    <row r="40" spans="2:28" x14ac:dyDescent="0.25">
      <c r="B40" s="51"/>
      <c r="C40" s="51"/>
      <c r="D40" s="51"/>
      <c r="E40" s="51"/>
      <c r="F40" s="51"/>
      <c r="G40" s="51"/>
      <c r="H40" s="51"/>
      <c r="I40" s="51"/>
      <c r="J40" s="51"/>
      <c r="K40" s="51"/>
      <c r="L40" s="51"/>
      <c r="M40" s="51"/>
      <c r="N40" s="51"/>
      <c r="O40" s="51"/>
      <c r="P40" s="51"/>
      <c r="Q40" s="51"/>
      <c r="R40" s="51"/>
      <c r="S40" s="51"/>
      <c r="T40" s="51"/>
      <c r="U40" s="51"/>
      <c r="V40" s="51"/>
      <c r="W40" s="51"/>
      <c r="X40" s="51"/>
      <c r="Y40" s="51"/>
      <c r="Z40" s="51"/>
      <c r="AA40" s="51"/>
      <c r="AB40" s="51"/>
    </row>
    <row r="41" spans="2:28" x14ac:dyDescent="0.25">
      <c r="B41" s="51"/>
      <c r="C41" s="51"/>
      <c r="D41" s="51"/>
      <c r="E41" s="51"/>
      <c r="F41" s="51"/>
      <c r="G41" s="51"/>
      <c r="H41" s="51"/>
      <c r="I41" s="51"/>
      <c r="J41" s="51"/>
      <c r="K41" s="51"/>
      <c r="L41" s="51"/>
      <c r="M41" s="51"/>
      <c r="N41" s="51"/>
      <c r="O41" s="51"/>
      <c r="P41" s="51"/>
      <c r="Q41" s="51"/>
      <c r="R41" s="51"/>
      <c r="S41" s="51"/>
      <c r="T41" s="51"/>
      <c r="U41" s="51"/>
      <c r="V41" s="51"/>
      <c r="W41" s="51"/>
      <c r="X41" s="51"/>
      <c r="Y41" s="51"/>
      <c r="Z41" s="51"/>
      <c r="AA41" s="51"/>
      <c r="AB41" s="51"/>
    </row>
    <row r="42" spans="2:28" x14ac:dyDescent="0.25">
      <c r="B42" s="51"/>
      <c r="C42" s="51"/>
      <c r="D42" s="51"/>
      <c r="E42" s="51"/>
      <c r="F42" s="51"/>
      <c r="G42" s="51"/>
      <c r="H42" s="51"/>
      <c r="I42" s="51"/>
      <c r="J42" s="51"/>
      <c r="K42" s="51"/>
      <c r="L42" s="51"/>
      <c r="M42" s="51"/>
      <c r="N42" s="51"/>
      <c r="O42" s="51"/>
      <c r="P42" s="51"/>
      <c r="Q42" s="51"/>
      <c r="R42" s="51"/>
      <c r="S42" s="51"/>
      <c r="T42" s="51"/>
      <c r="U42" s="51"/>
      <c r="V42" s="51"/>
      <c r="W42" s="51"/>
      <c r="X42" s="51"/>
      <c r="Y42" s="51"/>
      <c r="Z42" s="51"/>
      <c r="AA42" s="51"/>
      <c r="AB42" s="51"/>
    </row>
    <row r="43" spans="2:28" x14ac:dyDescent="0.25">
      <c r="B43" s="51"/>
      <c r="C43" s="51"/>
      <c r="D43" s="51"/>
      <c r="E43" s="51"/>
      <c r="F43" s="51"/>
      <c r="G43" s="51"/>
      <c r="H43" s="51"/>
      <c r="I43" s="51"/>
      <c r="J43" s="51"/>
      <c r="K43" s="51"/>
      <c r="L43" s="51"/>
      <c r="M43" s="51"/>
      <c r="N43" s="51"/>
      <c r="O43" s="51"/>
      <c r="P43" s="51"/>
      <c r="Q43" s="51"/>
      <c r="R43" s="51"/>
      <c r="S43" s="51"/>
      <c r="T43" s="51"/>
      <c r="U43" s="51"/>
      <c r="V43" s="51"/>
      <c r="W43" s="51"/>
      <c r="X43" s="51"/>
      <c r="Y43" s="51"/>
      <c r="Z43" s="51"/>
      <c r="AA43" s="51"/>
      <c r="AB43" s="51"/>
    </row>
    <row r="44" spans="2:28" x14ac:dyDescent="0.25">
      <c r="B44" s="51"/>
      <c r="C44" s="51"/>
      <c r="D44" s="51"/>
      <c r="E44" s="51"/>
      <c r="F44" s="51"/>
      <c r="G44" s="51"/>
      <c r="H44" s="51"/>
      <c r="I44" s="51"/>
      <c r="J44" s="51"/>
      <c r="K44" s="51"/>
      <c r="L44" s="51"/>
      <c r="M44" s="51"/>
      <c r="N44" s="51"/>
      <c r="O44" s="51"/>
      <c r="P44" s="51"/>
      <c r="Q44" s="51"/>
      <c r="R44" s="51"/>
      <c r="S44" s="51"/>
      <c r="T44" s="51"/>
      <c r="U44" s="51"/>
      <c r="V44" s="51"/>
      <c r="W44" s="51"/>
      <c r="X44" s="51"/>
      <c r="Y44" s="51"/>
      <c r="Z44" s="51"/>
      <c r="AA44" s="51"/>
      <c r="AB44" s="51"/>
    </row>
    <row r="45" spans="2:28" x14ac:dyDescent="0.25">
      <c r="B45" s="51"/>
      <c r="C45" s="51"/>
      <c r="D45" s="51"/>
      <c r="E45" s="51"/>
      <c r="F45" s="51"/>
      <c r="G45" s="51"/>
      <c r="H45" s="51"/>
      <c r="I45" s="51"/>
      <c r="J45" s="51"/>
      <c r="K45" s="51"/>
      <c r="L45" s="51"/>
      <c r="M45" s="51"/>
      <c r="N45" s="51"/>
      <c r="O45" s="51"/>
      <c r="P45" s="51"/>
      <c r="Q45" s="51"/>
      <c r="R45" s="51"/>
      <c r="S45" s="51"/>
      <c r="T45" s="51"/>
      <c r="U45" s="51"/>
      <c r="V45" s="51"/>
      <c r="W45" s="51"/>
      <c r="X45" s="51"/>
      <c r="Y45" s="51"/>
      <c r="Z45" s="51"/>
      <c r="AA45" s="51"/>
      <c r="AB45" s="51"/>
    </row>
    <row r="46" spans="2:28" x14ac:dyDescent="0.25">
      <c r="B46" s="51"/>
      <c r="C46" s="51"/>
      <c r="D46" s="51"/>
      <c r="E46" s="51"/>
      <c r="F46" s="51"/>
      <c r="G46" s="51"/>
      <c r="H46" s="51"/>
      <c r="I46" s="51"/>
      <c r="J46" s="51"/>
      <c r="K46" s="51"/>
      <c r="L46" s="51"/>
      <c r="M46" s="51"/>
      <c r="N46" s="51"/>
      <c r="O46" s="51"/>
      <c r="P46" s="51"/>
      <c r="Q46" s="51"/>
      <c r="R46" s="51"/>
      <c r="S46" s="51"/>
      <c r="T46" s="51"/>
      <c r="U46" s="51"/>
      <c r="V46" s="51"/>
      <c r="W46" s="51"/>
      <c r="X46" s="51"/>
      <c r="Y46" s="51"/>
      <c r="Z46" s="51"/>
      <c r="AA46" s="51"/>
      <c r="AB46" s="51"/>
    </row>
    <row r="47" spans="2:28" x14ac:dyDescent="0.25">
      <c r="B47" s="51"/>
      <c r="C47" s="51"/>
      <c r="D47" s="51"/>
      <c r="E47" s="51"/>
      <c r="F47" s="51"/>
      <c r="G47" s="51"/>
      <c r="H47" s="51"/>
      <c r="I47" s="51"/>
      <c r="J47" s="51"/>
      <c r="K47" s="51"/>
      <c r="L47" s="51"/>
      <c r="M47" s="51"/>
      <c r="N47" s="51"/>
      <c r="O47" s="51"/>
      <c r="P47" s="51"/>
      <c r="Q47" s="51"/>
      <c r="R47" s="51"/>
      <c r="S47" s="51"/>
      <c r="T47" s="51"/>
      <c r="U47" s="51"/>
      <c r="V47" s="51"/>
      <c r="W47" s="51"/>
      <c r="X47" s="51"/>
      <c r="Y47" s="51"/>
      <c r="Z47" s="51"/>
      <c r="AA47" s="51"/>
      <c r="AB47" s="51"/>
    </row>
    <row r="48" spans="2:28" x14ac:dyDescent="0.25">
      <c r="B48" s="51"/>
      <c r="C48" s="51"/>
      <c r="D48" s="51"/>
      <c r="E48" s="51"/>
      <c r="F48" s="51"/>
      <c r="G48" s="51"/>
      <c r="H48" s="51"/>
      <c r="I48" s="51"/>
      <c r="J48" s="51"/>
      <c r="K48" s="51"/>
      <c r="L48" s="51"/>
      <c r="M48" s="51"/>
      <c r="N48" s="51"/>
      <c r="O48" s="51"/>
      <c r="P48" s="51"/>
      <c r="Q48" s="51"/>
      <c r="R48" s="51"/>
      <c r="S48" s="51"/>
      <c r="T48" s="51"/>
      <c r="U48" s="51"/>
      <c r="V48" s="51"/>
      <c r="W48" s="51"/>
      <c r="X48" s="51"/>
      <c r="Y48" s="51"/>
      <c r="Z48" s="51"/>
      <c r="AA48" s="51"/>
      <c r="AB48" s="51"/>
    </row>
    <row r="49" spans="2:28" x14ac:dyDescent="0.25">
      <c r="B49" s="51"/>
      <c r="C49" s="51"/>
      <c r="D49" s="51"/>
      <c r="E49" s="51"/>
      <c r="F49" s="51"/>
      <c r="G49" s="51"/>
      <c r="H49" s="51"/>
      <c r="I49" s="51"/>
      <c r="J49" s="51"/>
      <c r="K49" s="51"/>
      <c r="L49" s="51"/>
      <c r="M49" s="51"/>
      <c r="N49" s="51"/>
      <c r="O49" s="51"/>
      <c r="P49" s="51"/>
      <c r="Q49" s="51"/>
      <c r="R49" s="51"/>
      <c r="S49" s="51"/>
      <c r="T49" s="51"/>
      <c r="U49" s="51"/>
      <c r="V49" s="51"/>
      <c r="W49" s="51"/>
      <c r="X49" s="51"/>
      <c r="Y49" s="51"/>
      <c r="Z49" s="51"/>
      <c r="AA49" s="51"/>
      <c r="AB49" s="51"/>
    </row>
    <row r="50" spans="2:28" x14ac:dyDescent="0.25">
      <c r="B50" s="51"/>
      <c r="C50" s="51"/>
      <c r="D50" s="51"/>
      <c r="E50" s="51"/>
      <c r="F50" s="51"/>
      <c r="G50" s="51"/>
      <c r="H50" s="51"/>
      <c r="I50" s="51"/>
      <c r="J50" s="51"/>
      <c r="K50" s="51"/>
      <c r="L50" s="51"/>
      <c r="M50" s="51"/>
      <c r="N50" s="51"/>
      <c r="O50" s="51"/>
      <c r="P50" s="51"/>
      <c r="Q50" s="51"/>
      <c r="R50" s="51"/>
      <c r="S50" s="51"/>
      <c r="T50" s="51"/>
      <c r="U50" s="51"/>
      <c r="V50" s="51"/>
      <c r="W50" s="51"/>
      <c r="X50" s="51"/>
      <c r="Y50" s="51"/>
      <c r="Z50" s="51"/>
      <c r="AA50" s="51"/>
      <c r="AB50" s="51"/>
    </row>
    <row r="51" spans="2:28" x14ac:dyDescent="0.25">
      <c r="B51" s="51"/>
      <c r="C51" s="51"/>
      <c r="D51" s="51"/>
      <c r="E51" s="51"/>
      <c r="F51" s="51"/>
      <c r="G51" s="51"/>
      <c r="H51" s="51"/>
      <c r="I51" s="51"/>
      <c r="J51" s="51"/>
      <c r="K51" s="51"/>
      <c r="L51" s="51"/>
      <c r="M51" s="51"/>
      <c r="N51" s="51"/>
      <c r="O51" s="51"/>
      <c r="P51" s="51"/>
      <c r="Q51" s="51"/>
      <c r="R51" s="51"/>
      <c r="S51" s="51"/>
      <c r="T51" s="51"/>
      <c r="U51" s="51"/>
      <c r="V51" s="51"/>
      <c r="W51" s="51"/>
      <c r="X51" s="51"/>
      <c r="Y51" s="51"/>
      <c r="Z51" s="51"/>
      <c r="AA51" s="51"/>
      <c r="AB51" s="51"/>
    </row>
    <row r="52" spans="2:28" x14ac:dyDescent="0.25">
      <c r="B52" s="51"/>
      <c r="C52" s="51"/>
      <c r="D52" s="51"/>
      <c r="E52" s="51"/>
      <c r="F52" s="51"/>
      <c r="G52" s="51"/>
      <c r="H52" s="51"/>
      <c r="I52" s="51"/>
      <c r="J52" s="51"/>
      <c r="K52" s="51"/>
      <c r="L52" s="51"/>
      <c r="M52" s="51"/>
      <c r="N52" s="51"/>
      <c r="O52" s="51"/>
      <c r="P52" s="51"/>
      <c r="Q52" s="51"/>
      <c r="R52" s="51"/>
      <c r="S52" s="51"/>
      <c r="T52" s="51"/>
      <c r="U52" s="51"/>
      <c r="V52" s="51"/>
      <c r="W52" s="51"/>
      <c r="X52" s="51"/>
      <c r="Y52" s="51"/>
      <c r="Z52" s="51"/>
      <c r="AA52" s="51"/>
      <c r="AB52" s="51"/>
    </row>
    <row r="53" spans="2:28" x14ac:dyDescent="0.25">
      <c r="B53" s="51"/>
      <c r="C53" s="51"/>
      <c r="D53" s="51"/>
      <c r="E53" s="51"/>
      <c r="F53" s="51"/>
      <c r="G53" s="51"/>
      <c r="H53" s="51"/>
      <c r="I53" s="51"/>
      <c r="J53" s="51"/>
      <c r="K53" s="51"/>
      <c r="L53" s="51"/>
      <c r="M53" s="51"/>
      <c r="N53" s="51"/>
      <c r="O53" s="51"/>
      <c r="P53" s="51"/>
      <c r="Q53" s="51"/>
      <c r="R53" s="51"/>
      <c r="S53" s="51"/>
      <c r="T53" s="51"/>
      <c r="U53" s="51"/>
      <c r="V53" s="51"/>
      <c r="W53" s="51"/>
      <c r="X53" s="51"/>
      <c r="Y53" s="51"/>
      <c r="Z53" s="51"/>
      <c r="AA53" s="51"/>
      <c r="AB53" s="51"/>
    </row>
    <row r="54" spans="2:28" x14ac:dyDescent="0.25">
      <c r="B54" s="51"/>
      <c r="C54" s="51"/>
      <c r="D54" s="51"/>
      <c r="E54" s="51"/>
      <c r="F54" s="51"/>
      <c r="G54" s="51"/>
      <c r="H54" s="51"/>
      <c r="I54" s="51"/>
      <c r="J54" s="51"/>
      <c r="K54" s="51"/>
      <c r="L54" s="51"/>
      <c r="M54" s="51"/>
      <c r="N54" s="51"/>
      <c r="O54" s="51"/>
      <c r="P54" s="51"/>
      <c r="Q54" s="51"/>
      <c r="R54" s="51"/>
      <c r="S54" s="51"/>
      <c r="T54" s="51"/>
      <c r="U54" s="51"/>
      <c r="V54" s="51"/>
      <c r="W54" s="51"/>
      <c r="X54" s="51"/>
      <c r="Y54" s="51"/>
      <c r="Z54" s="51"/>
      <c r="AA54" s="51"/>
      <c r="AB54" s="51"/>
    </row>
    <row r="55" spans="2:28" x14ac:dyDescent="0.25">
      <c r="B55" s="51"/>
      <c r="C55" s="51"/>
      <c r="D55" s="51"/>
      <c r="E55" s="51"/>
      <c r="F55" s="51"/>
      <c r="G55" s="51"/>
      <c r="H55" s="51"/>
      <c r="I55" s="51"/>
      <c r="J55" s="51"/>
      <c r="K55" s="51"/>
      <c r="L55" s="51"/>
      <c r="M55" s="51"/>
      <c r="N55" s="51"/>
      <c r="O55" s="51"/>
      <c r="P55" s="51"/>
      <c r="Q55" s="51"/>
      <c r="R55" s="51"/>
      <c r="S55" s="51"/>
      <c r="T55" s="51"/>
      <c r="U55" s="51"/>
      <c r="V55" s="51"/>
      <c r="W55" s="51"/>
      <c r="X55" s="51"/>
      <c r="Y55" s="51"/>
      <c r="Z55" s="51"/>
      <c r="AA55" s="51"/>
      <c r="AB55" s="51"/>
    </row>
    <row r="56" spans="2:28" x14ac:dyDescent="0.25">
      <c r="B56" s="51"/>
      <c r="C56" s="51"/>
      <c r="D56" s="51"/>
      <c r="E56" s="51"/>
      <c r="F56" s="51"/>
      <c r="G56" s="51"/>
      <c r="H56" s="51"/>
      <c r="I56" s="51"/>
      <c r="J56" s="51"/>
      <c r="K56" s="51"/>
      <c r="L56" s="51"/>
      <c r="M56" s="51"/>
      <c r="N56" s="51"/>
      <c r="O56" s="51"/>
      <c r="P56" s="51"/>
      <c r="Q56" s="51"/>
      <c r="R56" s="51"/>
      <c r="S56" s="51"/>
      <c r="T56" s="51"/>
      <c r="U56" s="51"/>
      <c r="V56" s="51"/>
      <c r="W56" s="51"/>
      <c r="X56" s="51"/>
      <c r="Y56" s="51"/>
      <c r="Z56" s="51"/>
      <c r="AA56" s="51"/>
      <c r="AB56" s="51"/>
    </row>
    <row r="57" spans="2:28" x14ac:dyDescent="0.25">
      <c r="B57" s="51"/>
      <c r="C57" s="51"/>
      <c r="D57" s="51"/>
      <c r="E57" s="51"/>
      <c r="F57" s="51"/>
      <c r="G57" s="51"/>
      <c r="H57" s="51"/>
      <c r="I57" s="51"/>
      <c r="J57" s="51"/>
      <c r="K57" s="51"/>
      <c r="L57" s="51"/>
      <c r="M57" s="51"/>
      <c r="N57" s="51"/>
      <c r="O57" s="51"/>
      <c r="P57" s="51"/>
      <c r="Q57" s="51"/>
      <c r="R57" s="51"/>
      <c r="S57" s="51"/>
      <c r="T57" s="51"/>
      <c r="U57" s="51"/>
      <c r="V57" s="51"/>
      <c r="W57" s="51"/>
      <c r="X57" s="51"/>
      <c r="Y57" s="51"/>
      <c r="Z57" s="51"/>
      <c r="AA57" s="51"/>
      <c r="AB57" s="51"/>
    </row>
    <row r="58" spans="2:28" x14ac:dyDescent="0.25">
      <c r="B58" s="51"/>
      <c r="C58" s="51"/>
      <c r="D58" s="51"/>
      <c r="E58" s="51"/>
      <c r="F58" s="51"/>
      <c r="G58" s="51"/>
      <c r="H58" s="51"/>
      <c r="I58" s="51"/>
      <c r="J58" s="51"/>
      <c r="K58" s="51"/>
      <c r="L58" s="51"/>
      <c r="M58" s="51"/>
      <c r="N58" s="51"/>
      <c r="O58" s="51"/>
      <c r="P58" s="51"/>
      <c r="Q58" s="51"/>
      <c r="R58" s="51"/>
      <c r="S58" s="51"/>
      <c r="T58" s="51"/>
      <c r="U58" s="51"/>
      <c r="V58" s="51"/>
      <c r="W58" s="51"/>
      <c r="X58" s="51"/>
      <c r="Y58" s="51"/>
      <c r="Z58" s="51"/>
      <c r="AA58" s="51"/>
      <c r="AB58" s="51"/>
    </row>
    <row r="59" spans="2:28" x14ac:dyDescent="0.25">
      <c r="B59" s="51"/>
      <c r="C59" s="51"/>
      <c r="D59" s="51"/>
      <c r="E59" s="51"/>
      <c r="F59" s="51"/>
      <c r="G59" s="51"/>
      <c r="H59" s="51"/>
      <c r="I59" s="51"/>
      <c r="J59" s="51"/>
      <c r="K59" s="51"/>
      <c r="L59" s="51"/>
      <c r="M59" s="51"/>
      <c r="N59" s="51"/>
      <c r="O59" s="51"/>
      <c r="P59" s="51"/>
      <c r="Q59" s="51"/>
      <c r="R59" s="51"/>
      <c r="S59" s="51"/>
      <c r="T59" s="51"/>
      <c r="U59" s="51"/>
      <c r="V59" s="51"/>
      <c r="W59" s="51"/>
      <c r="X59" s="51"/>
      <c r="Y59" s="51"/>
      <c r="Z59" s="51"/>
      <c r="AA59" s="51"/>
      <c r="AB59" s="51"/>
    </row>
    <row r="60" spans="2:28" x14ac:dyDescent="0.25">
      <c r="B60" s="51"/>
      <c r="C60" s="51"/>
      <c r="D60" s="51"/>
      <c r="E60" s="51"/>
      <c r="F60" s="51"/>
      <c r="G60" s="51"/>
      <c r="H60" s="51"/>
      <c r="I60" s="51"/>
      <c r="J60" s="51"/>
      <c r="K60" s="51"/>
      <c r="L60" s="51"/>
      <c r="M60" s="51"/>
      <c r="N60" s="51"/>
      <c r="O60" s="51"/>
      <c r="P60" s="51"/>
      <c r="Q60" s="51"/>
      <c r="R60" s="51"/>
      <c r="S60" s="51"/>
      <c r="T60" s="51"/>
      <c r="U60" s="51"/>
      <c r="V60" s="51"/>
      <c r="W60" s="51"/>
      <c r="X60" s="51"/>
      <c r="Y60" s="51"/>
      <c r="Z60" s="51"/>
      <c r="AA60" s="51"/>
      <c r="AB60" s="51"/>
    </row>
    <row r="61" spans="2:28" x14ac:dyDescent="0.25">
      <c r="B61" s="51"/>
      <c r="C61" s="51"/>
      <c r="D61" s="51"/>
      <c r="E61" s="51"/>
      <c r="F61" s="51"/>
      <c r="G61" s="51"/>
      <c r="H61" s="51"/>
      <c r="I61" s="51"/>
      <c r="J61" s="51"/>
      <c r="K61" s="51"/>
      <c r="L61" s="51"/>
      <c r="M61" s="51"/>
      <c r="N61" s="51"/>
      <c r="O61" s="51"/>
      <c r="P61" s="51"/>
      <c r="Q61" s="51"/>
      <c r="R61" s="51"/>
      <c r="S61" s="51"/>
      <c r="T61" s="51"/>
      <c r="U61" s="51"/>
      <c r="V61" s="51"/>
      <c r="W61" s="51"/>
      <c r="X61" s="51"/>
      <c r="Y61" s="51"/>
      <c r="Z61" s="51"/>
      <c r="AA61" s="51"/>
      <c r="AB61" s="51"/>
    </row>
    <row r="62" spans="2:28" x14ac:dyDescent="0.25">
      <c r="B62" s="51"/>
      <c r="C62" s="51"/>
      <c r="D62" s="51"/>
      <c r="E62" s="51"/>
      <c r="F62" s="51"/>
      <c r="G62" s="51"/>
      <c r="H62" s="51"/>
      <c r="I62" s="51"/>
      <c r="J62" s="51"/>
      <c r="K62" s="51"/>
      <c r="L62" s="51"/>
      <c r="M62" s="51"/>
      <c r="N62" s="51"/>
      <c r="O62" s="51"/>
      <c r="P62" s="51"/>
      <c r="Q62" s="51"/>
      <c r="R62" s="51"/>
      <c r="S62" s="51"/>
      <c r="T62" s="51"/>
      <c r="U62" s="51"/>
      <c r="V62" s="51"/>
      <c r="W62" s="51"/>
      <c r="X62" s="51"/>
      <c r="Y62" s="51"/>
      <c r="Z62" s="51"/>
      <c r="AA62" s="51"/>
      <c r="AB62" s="51"/>
    </row>
    <row r="63" spans="2:28" x14ac:dyDescent="0.25">
      <c r="B63" s="51"/>
      <c r="C63" s="51"/>
      <c r="D63" s="51"/>
      <c r="E63" s="51"/>
      <c r="F63" s="51"/>
      <c r="G63" s="51"/>
      <c r="H63" s="51"/>
      <c r="I63" s="51"/>
      <c r="J63" s="51"/>
      <c r="K63" s="51"/>
      <c r="L63" s="51"/>
      <c r="M63" s="51"/>
      <c r="N63" s="51"/>
      <c r="O63" s="51"/>
      <c r="P63" s="51"/>
      <c r="Q63" s="51"/>
      <c r="R63" s="51"/>
      <c r="S63" s="51"/>
      <c r="T63" s="51"/>
      <c r="U63" s="51"/>
      <c r="V63" s="51"/>
      <c r="W63" s="51"/>
      <c r="X63" s="51"/>
      <c r="Y63" s="51"/>
      <c r="Z63" s="51"/>
      <c r="AA63" s="51"/>
      <c r="AB63" s="51"/>
    </row>
    <row r="64" spans="2:28" x14ac:dyDescent="0.25">
      <c r="B64" s="51"/>
      <c r="C64" s="51"/>
      <c r="D64" s="51"/>
      <c r="E64" s="51"/>
      <c r="F64" s="51"/>
      <c r="G64" s="51"/>
      <c r="H64" s="51"/>
      <c r="I64" s="51"/>
      <c r="J64" s="51"/>
      <c r="K64" s="51"/>
      <c r="L64" s="51"/>
      <c r="M64" s="51"/>
      <c r="N64" s="51"/>
      <c r="O64" s="51"/>
      <c r="P64" s="51"/>
      <c r="Q64" s="51"/>
      <c r="R64" s="51"/>
      <c r="S64" s="51"/>
      <c r="T64" s="51"/>
      <c r="U64" s="51"/>
      <c r="V64" s="51"/>
      <c r="W64" s="51"/>
      <c r="X64" s="51"/>
      <c r="Y64" s="51"/>
      <c r="Z64" s="51"/>
      <c r="AA64" s="51"/>
      <c r="AB64" s="51"/>
    </row>
    <row r="65" spans="2:28" x14ac:dyDescent="0.25">
      <c r="B65" s="51"/>
      <c r="C65" s="51"/>
      <c r="D65" s="51"/>
      <c r="E65" s="51"/>
      <c r="F65" s="51"/>
      <c r="G65" s="51"/>
      <c r="H65" s="51"/>
      <c r="I65" s="51"/>
      <c r="J65" s="51"/>
      <c r="K65" s="51"/>
      <c r="L65" s="51"/>
      <c r="M65" s="51"/>
      <c r="N65" s="51"/>
      <c r="O65" s="51"/>
      <c r="P65" s="51"/>
      <c r="Q65" s="51"/>
      <c r="R65" s="51"/>
      <c r="S65" s="51"/>
      <c r="T65" s="51"/>
      <c r="U65" s="51"/>
      <c r="V65" s="51"/>
      <c r="W65" s="51"/>
      <c r="X65" s="51"/>
      <c r="Y65" s="51"/>
      <c r="Z65" s="51"/>
      <c r="AA65" s="51"/>
      <c r="AB65" s="51"/>
    </row>
    <row r="66" spans="2:28" x14ac:dyDescent="0.25">
      <c r="B66" s="51"/>
      <c r="C66" s="51"/>
      <c r="D66" s="51"/>
      <c r="E66" s="51"/>
      <c r="F66" s="51"/>
      <c r="G66" s="51"/>
      <c r="H66" s="51"/>
      <c r="I66" s="51"/>
      <c r="J66" s="51"/>
      <c r="K66" s="51"/>
      <c r="L66" s="51"/>
      <c r="M66" s="51"/>
      <c r="N66" s="51"/>
      <c r="O66" s="51"/>
      <c r="P66" s="51"/>
      <c r="Q66" s="51"/>
      <c r="R66" s="51"/>
      <c r="S66" s="51"/>
      <c r="T66" s="51"/>
      <c r="U66" s="51"/>
      <c r="V66" s="51"/>
      <c r="W66" s="51"/>
      <c r="X66" s="51"/>
      <c r="Y66" s="51"/>
      <c r="Z66" s="51"/>
      <c r="AA66" s="51"/>
      <c r="AB66" s="51"/>
    </row>
    <row r="67" spans="2:28" x14ac:dyDescent="0.25">
      <c r="B67" s="51"/>
      <c r="C67" s="51"/>
      <c r="D67" s="51"/>
      <c r="E67" s="51"/>
      <c r="F67" s="51"/>
      <c r="G67" s="51"/>
      <c r="H67" s="51"/>
      <c r="I67" s="51"/>
      <c r="J67" s="51"/>
      <c r="K67" s="51"/>
      <c r="L67" s="51"/>
      <c r="M67" s="51"/>
      <c r="N67" s="51"/>
      <c r="O67" s="51"/>
      <c r="P67" s="51"/>
      <c r="Q67" s="51"/>
      <c r="R67" s="51"/>
      <c r="S67" s="51"/>
      <c r="T67" s="51"/>
      <c r="U67" s="51"/>
      <c r="V67" s="51"/>
      <c r="W67" s="51"/>
      <c r="X67" s="51"/>
      <c r="Y67" s="51"/>
      <c r="Z67" s="51"/>
      <c r="AA67" s="51"/>
      <c r="AB67" s="51"/>
    </row>
    <row r="68" spans="2:28" x14ac:dyDescent="0.25">
      <c r="B68" s="51"/>
      <c r="C68" s="51"/>
      <c r="D68" s="51"/>
      <c r="E68" s="51"/>
      <c r="F68" s="51"/>
      <c r="G68" s="51"/>
      <c r="H68" s="51"/>
      <c r="I68" s="51"/>
      <c r="J68" s="51"/>
      <c r="K68" s="51"/>
      <c r="L68" s="51"/>
      <c r="M68" s="51"/>
      <c r="N68" s="51"/>
      <c r="O68" s="51"/>
      <c r="P68" s="51"/>
      <c r="Q68" s="51"/>
      <c r="R68" s="51"/>
      <c r="S68" s="51"/>
      <c r="T68" s="51"/>
      <c r="U68" s="51"/>
      <c r="V68" s="51"/>
      <c r="W68" s="51"/>
      <c r="X68" s="51"/>
      <c r="Y68" s="51"/>
      <c r="Z68" s="51"/>
      <c r="AA68" s="51"/>
      <c r="AB68" s="51"/>
    </row>
    <row r="69" spans="2:28" x14ac:dyDescent="0.25">
      <c r="B69" s="51"/>
      <c r="C69" s="51"/>
      <c r="D69" s="51"/>
      <c r="E69" s="51"/>
      <c r="F69" s="51"/>
      <c r="G69" s="51"/>
      <c r="H69" s="51"/>
      <c r="I69" s="51"/>
      <c r="J69" s="51"/>
      <c r="K69" s="51"/>
      <c r="L69" s="51"/>
      <c r="M69" s="51"/>
      <c r="N69" s="51"/>
      <c r="O69" s="51"/>
      <c r="P69" s="51"/>
      <c r="Q69" s="51"/>
      <c r="R69" s="51"/>
      <c r="S69" s="51"/>
      <c r="T69" s="51"/>
      <c r="U69" s="51"/>
      <c r="V69" s="51"/>
      <c r="W69" s="51"/>
      <c r="X69" s="51"/>
      <c r="Y69" s="51"/>
      <c r="Z69" s="51"/>
      <c r="AA69" s="51"/>
      <c r="AB69" s="51"/>
    </row>
    <row r="70" spans="2:28" x14ac:dyDescent="0.25">
      <c r="B70" s="51"/>
      <c r="C70" s="51"/>
      <c r="D70" s="51"/>
      <c r="E70" s="51"/>
      <c r="F70" s="51"/>
      <c r="G70" s="51"/>
      <c r="H70" s="51"/>
      <c r="I70" s="51"/>
      <c r="J70" s="51"/>
      <c r="K70" s="51"/>
      <c r="L70" s="51"/>
      <c r="M70" s="51"/>
      <c r="N70" s="51"/>
      <c r="O70" s="51"/>
      <c r="P70" s="51"/>
      <c r="Q70" s="51"/>
      <c r="R70" s="51"/>
      <c r="S70" s="51"/>
      <c r="T70" s="51"/>
      <c r="U70" s="51"/>
      <c r="V70" s="51"/>
      <c r="W70" s="51"/>
      <c r="X70" s="51"/>
      <c r="Y70" s="51"/>
      <c r="Z70" s="51"/>
      <c r="AA70" s="51"/>
      <c r="AB70" s="51"/>
    </row>
    <row r="71" spans="2:28" x14ac:dyDescent="0.25">
      <c r="B71" s="51"/>
      <c r="C71" s="51"/>
      <c r="D71" s="51"/>
      <c r="E71" s="51"/>
      <c r="F71" s="51"/>
      <c r="G71" s="51"/>
      <c r="H71" s="51"/>
      <c r="I71" s="51"/>
      <c r="J71" s="51"/>
      <c r="K71" s="51"/>
      <c r="L71" s="51"/>
      <c r="M71" s="51"/>
      <c r="N71" s="51"/>
      <c r="O71" s="51"/>
      <c r="P71" s="51"/>
      <c r="Q71" s="51"/>
      <c r="R71" s="51"/>
      <c r="S71" s="51"/>
      <c r="T71" s="51"/>
      <c r="U71" s="51"/>
      <c r="V71" s="51"/>
      <c r="W71" s="51"/>
      <c r="X71" s="51"/>
      <c r="Y71" s="51"/>
      <c r="Z71" s="51"/>
      <c r="AA71" s="51"/>
      <c r="AB71" s="51"/>
    </row>
    <row r="72" spans="2:28" x14ac:dyDescent="0.25">
      <c r="B72" s="51"/>
      <c r="C72" s="51"/>
      <c r="D72" s="51"/>
      <c r="E72" s="51"/>
      <c r="F72" s="51"/>
      <c r="G72" s="51"/>
      <c r="H72" s="51"/>
      <c r="I72" s="51"/>
      <c r="J72" s="51"/>
      <c r="K72" s="51"/>
      <c r="L72" s="51"/>
      <c r="M72" s="51"/>
      <c r="N72" s="51"/>
      <c r="O72" s="51"/>
      <c r="P72" s="51"/>
      <c r="Q72" s="51"/>
      <c r="R72" s="51"/>
      <c r="S72" s="51"/>
      <c r="T72" s="51"/>
      <c r="U72" s="51"/>
      <c r="V72" s="51"/>
      <c r="W72" s="51"/>
      <c r="X72" s="51"/>
      <c r="Y72" s="51"/>
      <c r="Z72" s="51"/>
      <c r="AA72" s="51"/>
      <c r="AB72" s="51"/>
    </row>
    <row r="73" spans="2:28" x14ac:dyDescent="0.25">
      <c r="B73" s="51"/>
      <c r="C73" s="51"/>
      <c r="D73" s="51"/>
      <c r="E73" s="51"/>
      <c r="F73" s="51"/>
      <c r="G73" s="51"/>
      <c r="H73" s="51"/>
      <c r="I73" s="51"/>
      <c r="J73" s="51"/>
      <c r="K73" s="51"/>
      <c r="L73" s="51"/>
      <c r="M73" s="51"/>
      <c r="N73" s="51"/>
      <c r="O73" s="51"/>
      <c r="P73" s="51"/>
      <c r="Q73" s="51"/>
      <c r="R73" s="51"/>
      <c r="S73" s="51"/>
      <c r="T73" s="51"/>
      <c r="U73" s="51"/>
      <c r="V73" s="51"/>
      <c r="W73" s="51"/>
      <c r="X73" s="51"/>
      <c r="Y73" s="51"/>
      <c r="Z73" s="51"/>
      <c r="AA73" s="51"/>
      <c r="AB73" s="51"/>
    </row>
    <row r="74" spans="2:28" x14ac:dyDescent="0.25">
      <c r="B74" s="51"/>
      <c r="C74" s="51"/>
      <c r="D74" s="51"/>
      <c r="E74" s="51"/>
      <c r="F74" s="51"/>
      <c r="G74" s="51"/>
      <c r="H74" s="51"/>
      <c r="I74" s="51"/>
      <c r="J74" s="51"/>
      <c r="K74" s="51"/>
      <c r="L74" s="51"/>
      <c r="M74" s="51"/>
      <c r="N74" s="51"/>
      <c r="O74" s="51"/>
      <c r="P74" s="51"/>
      <c r="Q74" s="51"/>
      <c r="R74" s="51"/>
      <c r="S74" s="51"/>
      <c r="T74" s="51"/>
      <c r="U74" s="51"/>
      <c r="V74" s="51"/>
      <c r="W74" s="51"/>
      <c r="X74" s="51"/>
      <c r="Y74" s="51"/>
      <c r="Z74" s="51"/>
      <c r="AA74" s="51"/>
      <c r="AB74" s="51"/>
    </row>
    <row r="75" spans="2:28" x14ac:dyDescent="0.25">
      <c r="B75" s="51"/>
      <c r="C75" s="51"/>
      <c r="D75" s="51"/>
      <c r="E75" s="51"/>
      <c r="F75" s="51"/>
      <c r="G75" s="51"/>
      <c r="H75" s="51"/>
      <c r="I75" s="51"/>
      <c r="J75" s="51"/>
      <c r="K75" s="51"/>
      <c r="L75" s="51"/>
      <c r="M75" s="51"/>
      <c r="N75" s="51"/>
      <c r="O75" s="51"/>
      <c r="P75" s="51"/>
      <c r="Q75" s="51"/>
      <c r="R75" s="51"/>
      <c r="S75" s="51"/>
      <c r="T75" s="51"/>
      <c r="U75" s="51"/>
      <c r="V75" s="51"/>
      <c r="W75" s="51"/>
      <c r="X75" s="51"/>
      <c r="Y75" s="51"/>
      <c r="Z75" s="51"/>
      <c r="AA75" s="51"/>
      <c r="AB75" s="51"/>
    </row>
    <row r="76" spans="2:28" x14ac:dyDescent="0.25">
      <c r="B76" s="51"/>
      <c r="C76" s="51"/>
      <c r="D76" s="51"/>
      <c r="E76" s="51"/>
      <c r="F76" s="51"/>
      <c r="G76" s="51"/>
      <c r="H76" s="51"/>
      <c r="I76" s="51"/>
      <c r="J76" s="51"/>
      <c r="K76" s="51"/>
      <c r="L76" s="51"/>
      <c r="M76" s="51"/>
      <c r="N76" s="51"/>
      <c r="O76" s="51"/>
      <c r="P76" s="51"/>
      <c r="Q76" s="51"/>
      <c r="R76" s="51"/>
      <c r="S76" s="51"/>
      <c r="T76" s="51"/>
      <c r="U76" s="51"/>
      <c r="V76" s="51"/>
      <c r="W76" s="51"/>
      <c r="X76" s="51"/>
      <c r="Y76" s="51"/>
      <c r="Z76" s="51"/>
      <c r="AA76" s="51"/>
      <c r="AB76" s="51"/>
    </row>
    <row r="77" spans="2:28" x14ac:dyDescent="0.25">
      <c r="B77" s="51"/>
      <c r="C77" s="51"/>
      <c r="D77" s="51"/>
      <c r="E77" s="51"/>
      <c r="F77" s="51"/>
      <c r="G77" s="51"/>
      <c r="H77" s="51"/>
      <c r="I77" s="51"/>
      <c r="J77" s="51"/>
      <c r="K77" s="51"/>
      <c r="L77" s="51"/>
      <c r="M77" s="51"/>
      <c r="N77" s="51"/>
      <c r="O77" s="51"/>
      <c r="P77" s="51"/>
      <c r="Q77" s="51"/>
      <c r="R77" s="51"/>
      <c r="S77" s="51"/>
      <c r="T77" s="51"/>
      <c r="U77" s="51"/>
      <c r="V77" s="51"/>
      <c r="W77" s="51"/>
      <c r="X77" s="51"/>
      <c r="Y77" s="51"/>
      <c r="Z77" s="51"/>
      <c r="AA77" s="51"/>
      <c r="AB77" s="51"/>
    </row>
    <row r="78" spans="2:28" x14ac:dyDescent="0.25">
      <c r="B78" s="51"/>
      <c r="C78" s="51"/>
      <c r="D78" s="51"/>
      <c r="E78" s="51"/>
      <c r="F78" s="51"/>
      <c r="G78" s="51"/>
      <c r="H78" s="51"/>
      <c r="I78" s="51"/>
      <c r="J78" s="51"/>
      <c r="K78" s="51"/>
      <c r="L78" s="51"/>
      <c r="M78" s="51"/>
      <c r="N78" s="51"/>
      <c r="O78" s="51"/>
      <c r="P78" s="51"/>
      <c r="Q78" s="51"/>
      <c r="R78" s="51"/>
      <c r="S78" s="51"/>
      <c r="T78" s="51"/>
      <c r="U78" s="51"/>
      <c r="V78" s="51"/>
      <c r="W78" s="51"/>
      <c r="X78" s="51"/>
      <c r="Y78" s="51"/>
      <c r="Z78" s="51"/>
      <c r="AA78" s="51"/>
      <c r="AB78" s="51"/>
    </row>
    <row r="79" spans="2:28" x14ac:dyDescent="0.25">
      <c r="B79" s="51"/>
      <c r="C79" s="51"/>
      <c r="D79" s="51"/>
      <c r="E79" s="51"/>
      <c r="F79" s="51"/>
      <c r="G79" s="51"/>
      <c r="H79" s="51"/>
      <c r="I79" s="51"/>
      <c r="J79" s="51"/>
      <c r="K79" s="51"/>
      <c r="L79" s="51"/>
      <c r="M79" s="51"/>
      <c r="N79" s="51"/>
      <c r="O79" s="51"/>
      <c r="P79" s="51"/>
      <c r="Q79" s="51"/>
      <c r="R79" s="51"/>
      <c r="S79" s="51"/>
      <c r="T79" s="51"/>
      <c r="U79" s="51"/>
      <c r="V79" s="51"/>
      <c r="W79" s="51"/>
      <c r="X79" s="51"/>
      <c r="Y79" s="51"/>
      <c r="Z79" s="51"/>
      <c r="AA79" s="51"/>
      <c r="AB79" s="51"/>
    </row>
    <row r="80" spans="2:28" x14ac:dyDescent="0.25">
      <c r="B80" s="51"/>
      <c r="C80" s="51"/>
      <c r="D80" s="51"/>
      <c r="E80" s="51"/>
      <c r="F80" s="51"/>
      <c r="G80" s="51"/>
      <c r="H80" s="51"/>
      <c r="I80" s="51"/>
      <c r="J80" s="51"/>
      <c r="K80" s="51"/>
      <c r="L80" s="51"/>
      <c r="M80" s="51"/>
      <c r="N80" s="51"/>
      <c r="O80" s="51"/>
      <c r="P80" s="51"/>
      <c r="Q80" s="51"/>
      <c r="R80" s="51"/>
      <c r="S80" s="51"/>
      <c r="T80" s="51"/>
      <c r="U80" s="51"/>
      <c r="V80" s="51"/>
      <c r="W80" s="51"/>
      <c r="X80" s="51"/>
      <c r="Y80" s="51"/>
      <c r="Z80" s="51"/>
      <c r="AA80" s="51"/>
      <c r="AB80" s="51"/>
    </row>
    <row r="81" spans="2:28" x14ac:dyDescent="0.25">
      <c r="B81" s="51"/>
      <c r="C81" s="51"/>
      <c r="D81" s="51"/>
      <c r="E81" s="51"/>
      <c r="F81" s="51"/>
      <c r="G81" s="51"/>
      <c r="H81" s="51"/>
      <c r="I81" s="51"/>
      <c r="J81" s="51"/>
      <c r="K81" s="51"/>
      <c r="L81" s="51"/>
      <c r="M81" s="51"/>
      <c r="N81" s="51"/>
      <c r="O81" s="51"/>
      <c r="P81" s="51"/>
      <c r="Q81" s="51"/>
      <c r="R81" s="51"/>
      <c r="S81" s="51"/>
      <c r="T81" s="51"/>
      <c r="U81" s="51"/>
      <c r="V81" s="51"/>
      <c r="W81" s="51"/>
      <c r="X81" s="51"/>
      <c r="Y81" s="51"/>
      <c r="Z81" s="51"/>
      <c r="AA81" s="51"/>
      <c r="AB81" s="51"/>
    </row>
    <row r="82" spans="2:28" x14ac:dyDescent="0.25">
      <c r="B82" s="51"/>
      <c r="C82" s="51"/>
      <c r="D82" s="51"/>
      <c r="E82" s="51"/>
      <c r="F82" s="51"/>
      <c r="G82" s="51"/>
      <c r="H82" s="51"/>
      <c r="I82" s="51"/>
      <c r="J82" s="51"/>
      <c r="K82" s="51"/>
      <c r="L82" s="51"/>
      <c r="M82" s="51"/>
      <c r="N82" s="51"/>
      <c r="O82" s="51"/>
      <c r="P82" s="51"/>
      <c r="Q82" s="51"/>
      <c r="R82" s="51"/>
      <c r="S82" s="51"/>
      <c r="T82" s="51"/>
      <c r="U82" s="51"/>
      <c r="V82" s="51"/>
      <c r="W82" s="51"/>
      <c r="X82" s="51"/>
      <c r="Y82" s="51"/>
      <c r="Z82" s="51"/>
      <c r="AA82" s="51"/>
      <c r="AB82" s="51"/>
    </row>
    <row r="83" spans="2:28" x14ac:dyDescent="0.25">
      <c r="B83" s="51"/>
      <c r="C83" s="51"/>
      <c r="D83" s="51"/>
      <c r="E83" s="51"/>
      <c r="F83" s="51"/>
      <c r="G83" s="51"/>
      <c r="H83" s="51"/>
      <c r="I83" s="51"/>
      <c r="J83" s="51"/>
      <c r="K83" s="51"/>
      <c r="L83" s="51"/>
      <c r="M83" s="51"/>
      <c r="N83" s="51"/>
      <c r="O83" s="51"/>
      <c r="P83" s="51"/>
      <c r="Q83" s="51"/>
      <c r="R83" s="51"/>
      <c r="S83" s="51"/>
      <c r="T83" s="51"/>
      <c r="U83" s="51"/>
      <c r="V83" s="51"/>
      <c r="W83" s="51"/>
      <c r="X83" s="51"/>
      <c r="Y83" s="51"/>
      <c r="Z83" s="51"/>
      <c r="AA83" s="51"/>
      <c r="AB83" s="51"/>
    </row>
    <row r="84" spans="2:28" x14ac:dyDescent="0.25">
      <c r="B84" s="51"/>
      <c r="C84" s="51"/>
      <c r="D84" s="51"/>
      <c r="E84" s="51"/>
      <c r="F84" s="51"/>
      <c r="G84" s="51"/>
      <c r="H84" s="51"/>
      <c r="I84" s="51"/>
      <c r="J84" s="51"/>
      <c r="K84" s="51"/>
      <c r="L84" s="51"/>
      <c r="M84" s="51"/>
      <c r="N84" s="51"/>
      <c r="O84" s="51"/>
      <c r="P84" s="51"/>
      <c r="Q84" s="51"/>
      <c r="R84" s="51"/>
      <c r="S84" s="51"/>
      <c r="T84" s="51"/>
      <c r="U84" s="51"/>
      <c r="V84" s="51"/>
      <c r="W84" s="51"/>
      <c r="X84" s="51"/>
      <c r="Y84" s="51"/>
      <c r="Z84" s="51"/>
      <c r="AA84" s="51"/>
      <c r="AB84" s="51"/>
    </row>
    <row r="85" spans="2:28" x14ac:dyDescent="0.25">
      <c r="B85" s="51"/>
      <c r="C85" s="51"/>
      <c r="D85" s="51"/>
      <c r="E85" s="51"/>
      <c r="F85" s="51"/>
      <c r="G85" s="51"/>
      <c r="H85" s="51"/>
      <c r="I85" s="51"/>
      <c r="J85" s="51"/>
      <c r="K85" s="51"/>
      <c r="L85" s="51"/>
      <c r="M85" s="51"/>
      <c r="N85" s="51"/>
      <c r="O85" s="51"/>
      <c r="P85" s="51"/>
      <c r="Q85" s="51"/>
      <c r="R85" s="51"/>
      <c r="S85" s="51"/>
      <c r="T85" s="51"/>
      <c r="U85" s="51"/>
      <c r="V85" s="51"/>
      <c r="W85" s="51"/>
      <c r="X85" s="51"/>
      <c r="Y85" s="51"/>
      <c r="Z85" s="51"/>
      <c r="AA85" s="51"/>
      <c r="AB85" s="51"/>
    </row>
    <row r="86" spans="2:28" x14ac:dyDescent="0.25">
      <c r="B86" s="51"/>
      <c r="C86" s="51"/>
      <c r="D86" s="51"/>
      <c r="E86" s="51"/>
      <c r="F86" s="51"/>
      <c r="G86" s="51"/>
      <c r="H86" s="51"/>
      <c r="I86" s="51"/>
      <c r="J86" s="51"/>
      <c r="K86" s="51"/>
      <c r="L86" s="51"/>
      <c r="M86" s="51"/>
      <c r="N86" s="51"/>
      <c r="O86" s="51"/>
      <c r="P86" s="51"/>
      <c r="Q86" s="51"/>
      <c r="R86" s="51"/>
      <c r="S86" s="51"/>
      <c r="T86" s="51"/>
      <c r="U86" s="51"/>
      <c r="V86" s="51"/>
      <c r="W86" s="51"/>
      <c r="X86" s="51"/>
      <c r="Y86" s="51"/>
      <c r="Z86" s="51"/>
      <c r="AA86" s="51"/>
      <c r="AB86" s="51"/>
    </row>
    <row r="87" spans="2:28" x14ac:dyDescent="0.25">
      <c r="B87" s="51"/>
      <c r="C87" s="51"/>
      <c r="D87" s="51"/>
      <c r="E87" s="51"/>
      <c r="F87" s="51"/>
      <c r="G87" s="51"/>
      <c r="H87" s="51"/>
      <c r="I87" s="51"/>
      <c r="J87" s="51"/>
      <c r="K87" s="51"/>
      <c r="L87" s="51"/>
      <c r="M87" s="51"/>
      <c r="N87" s="51"/>
      <c r="O87" s="51"/>
      <c r="P87" s="51"/>
      <c r="Q87" s="51"/>
      <c r="R87" s="51"/>
      <c r="S87" s="51"/>
      <c r="T87" s="51"/>
      <c r="U87" s="51"/>
      <c r="V87" s="51"/>
      <c r="W87" s="51"/>
      <c r="X87" s="51"/>
      <c r="Y87" s="51"/>
      <c r="Z87" s="51"/>
      <c r="AA87" s="51"/>
      <c r="AB87" s="51"/>
    </row>
    <row r="88" spans="2:28" x14ac:dyDescent="0.25">
      <c r="B88" s="51"/>
      <c r="C88" s="51"/>
      <c r="D88" s="51"/>
      <c r="E88" s="51"/>
      <c r="F88" s="51"/>
      <c r="G88" s="51"/>
      <c r="H88" s="51"/>
      <c r="I88" s="51"/>
      <c r="J88" s="51"/>
      <c r="K88" s="51"/>
      <c r="L88" s="51"/>
      <c r="M88" s="51"/>
      <c r="N88" s="51"/>
      <c r="O88" s="51"/>
      <c r="P88" s="51"/>
      <c r="Q88" s="51"/>
      <c r="R88" s="51"/>
      <c r="S88" s="51"/>
      <c r="T88" s="51"/>
      <c r="U88" s="51"/>
      <c r="V88" s="51"/>
      <c r="W88" s="51"/>
      <c r="X88" s="51"/>
      <c r="Y88" s="51"/>
      <c r="Z88" s="51"/>
      <c r="AA88" s="51"/>
      <c r="AB88" s="51"/>
    </row>
    <row r="89" spans="2:28" x14ac:dyDescent="0.25">
      <c r="B89" s="51"/>
      <c r="C89" s="51"/>
      <c r="D89" s="51"/>
      <c r="E89" s="51"/>
      <c r="F89" s="51"/>
      <c r="G89" s="51"/>
      <c r="H89" s="51"/>
      <c r="I89" s="51"/>
      <c r="J89" s="51"/>
      <c r="K89" s="51"/>
      <c r="L89" s="51"/>
      <c r="M89" s="51"/>
      <c r="N89" s="51"/>
      <c r="O89" s="51"/>
      <c r="P89" s="51"/>
      <c r="Q89" s="51"/>
      <c r="R89" s="51"/>
      <c r="S89" s="51"/>
      <c r="T89" s="51"/>
      <c r="U89" s="51"/>
      <c r="V89" s="51"/>
      <c r="W89" s="51"/>
      <c r="X89" s="51"/>
      <c r="Y89" s="51"/>
      <c r="Z89" s="51"/>
      <c r="AA89" s="51"/>
      <c r="AB89" s="51"/>
    </row>
    <row r="90" spans="2:28" x14ac:dyDescent="0.25">
      <c r="B90" s="51"/>
      <c r="C90" s="51"/>
      <c r="D90" s="51"/>
      <c r="E90" s="51"/>
      <c r="F90" s="51"/>
      <c r="G90" s="51"/>
      <c r="H90" s="51"/>
      <c r="I90" s="51"/>
      <c r="J90" s="51"/>
      <c r="K90" s="51"/>
      <c r="L90" s="51"/>
      <c r="M90" s="51"/>
      <c r="N90" s="51"/>
      <c r="O90" s="51"/>
      <c r="P90" s="51"/>
      <c r="Q90" s="51"/>
      <c r="R90" s="51"/>
      <c r="S90" s="51"/>
      <c r="T90" s="51"/>
      <c r="U90" s="51"/>
      <c r="V90" s="51"/>
      <c r="W90" s="51"/>
      <c r="X90" s="51"/>
      <c r="Y90" s="51"/>
      <c r="Z90" s="51"/>
      <c r="AA90" s="51"/>
      <c r="AB90" s="51"/>
    </row>
    <row r="91" spans="2:28" x14ac:dyDescent="0.25">
      <c r="B91" s="51"/>
      <c r="C91" s="51"/>
      <c r="D91" s="51"/>
      <c r="E91" s="51"/>
      <c r="F91" s="51"/>
      <c r="G91" s="51"/>
      <c r="H91" s="51"/>
      <c r="I91" s="51"/>
      <c r="J91" s="51"/>
      <c r="K91" s="51"/>
      <c r="L91" s="51"/>
      <c r="M91" s="51"/>
      <c r="N91" s="51"/>
      <c r="O91" s="51"/>
      <c r="P91" s="51"/>
      <c r="Q91" s="51"/>
      <c r="R91" s="51"/>
      <c r="S91" s="51"/>
      <c r="T91" s="51"/>
      <c r="U91" s="51"/>
      <c r="V91" s="51"/>
      <c r="W91" s="51"/>
      <c r="X91" s="51"/>
      <c r="Y91" s="51"/>
      <c r="Z91" s="51"/>
      <c r="AA91" s="51"/>
      <c r="AB91" s="51"/>
    </row>
    <row r="92" spans="2:28" x14ac:dyDescent="0.25">
      <c r="B92" s="51"/>
      <c r="C92" s="51"/>
      <c r="D92" s="51"/>
      <c r="E92" s="51"/>
      <c r="F92" s="51"/>
      <c r="G92" s="51"/>
      <c r="H92" s="51"/>
      <c r="I92" s="51"/>
      <c r="J92" s="51"/>
      <c r="K92" s="51"/>
      <c r="L92" s="51"/>
      <c r="M92" s="51"/>
      <c r="N92" s="51"/>
      <c r="O92" s="51"/>
      <c r="P92" s="51"/>
      <c r="Q92" s="51"/>
      <c r="R92" s="51"/>
      <c r="S92" s="51"/>
      <c r="T92" s="51"/>
      <c r="U92" s="51"/>
      <c r="V92" s="51"/>
      <c r="W92" s="51"/>
      <c r="X92" s="51"/>
      <c r="Y92" s="51"/>
      <c r="Z92" s="51"/>
      <c r="AA92" s="51"/>
      <c r="AB92" s="51"/>
    </row>
    <row r="93" spans="2:28" x14ac:dyDescent="0.25">
      <c r="B93" s="51"/>
      <c r="C93" s="51"/>
      <c r="D93" s="51"/>
      <c r="E93" s="51"/>
      <c r="F93" s="51"/>
      <c r="G93" s="51"/>
      <c r="H93" s="51"/>
      <c r="I93" s="51"/>
      <c r="J93" s="51"/>
      <c r="K93" s="51"/>
      <c r="L93" s="51"/>
      <c r="M93" s="51"/>
      <c r="N93" s="51"/>
      <c r="O93" s="51"/>
      <c r="P93" s="51"/>
      <c r="Q93" s="51"/>
      <c r="R93" s="51"/>
      <c r="S93" s="51"/>
      <c r="T93" s="51"/>
      <c r="U93" s="51"/>
      <c r="V93" s="51"/>
      <c r="W93" s="51"/>
      <c r="X93" s="51"/>
      <c r="Y93" s="51"/>
      <c r="Z93" s="51"/>
      <c r="AA93" s="51"/>
      <c r="AB93" s="51"/>
    </row>
    <row r="94" spans="2:28" x14ac:dyDescent="0.25">
      <c r="B94" s="51"/>
      <c r="C94" s="51"/>
      <c r="D94" s="51"/>
      <c r="E94" s="51"/>
      <c r="F94" s="51"/>
      <c r="G94" s="51"/>
      <c r="H94" s="51"/>
      <c r="I94" s="51"/>
      <c r="J94" s="51"/>
      <c r="K94" s="51"/>
      <c r="L94" s="51"/>
      <c r="M94" s="51"/>
      <c r="N94" s="51"/>
      <c r="O94" s="51"/>
      <c r="P94" s="51"/>
      <c r="Q94" s="51"/>
      <c r="R94" s="51"/>
      <c r="S94" s="51"/>
      <c r="T94" s="51"/>
      <c r="U94" s="51"/>
      <c r="V94" s="51"/>
      <c r="W94" s="51"/>
      <c r="X94" s="51"/>
      <c r="Y94" s="51"/>
      <c r="Z94" s="51"/>
      <c r="AA94" s="51"/>
      <c r="AB94" s="51"/>
    </row>
    <row r="95" spans="2:28" x14ac:dyDescent="0.25">
      <c r="B95" s="51"/>
      <c r="C95" s="51"/>
      <c r="D95" s="51"/>
      <c r="E95" s="51"/>
      <c r="F95" s="51"/>
      <c r="G95" s="51"/>
      <c r="H95" s="51"/>
      <c r="I95" s="51"/>
      <c r="J95" s="51"/>
      <c r="K95" s="51"/>
      <c r="L95" s="51"/>
      <c r="M95" s="51"/>
      <c r="N95" s="51"/>
      <c r="O95" s="51"/>
      <c r="P95" s="51"/>
      <c r="Q95" s="51"/>
      <c r="R95" s="51"/>
      <c r="S95" s="51"/>
      <c r="T95" s="51"/>
      <c r="U95" s="51"/>
      <c r="V95" s="51"/>
      <c r="W95" s="51"/>
      <c r="X95" s="51"/>
      <c r="Y95" s="51"/>
      <c r="Z95" s="51"/>
      <c r="AA95" s="51"/>
      <c r="AB95" s="51"/>
    </row>
    <row r="96" spans="2:28" x14ac:dyDescent="0.25">
      <c r="B96" s="51"/>
      <c r="C96" s="51"/>
      <c r="D96" s="51"/>
      <c r="E96" s="51"/>
      <c r="F96" s="51"/>
      <c r="G96" s="51"/>
      <c r="H96" s="51"/>
      <c r="I96" s="51"/>
      <c r="J96" s="51"/>
      <c r="K96" s="51"/>
      <c r="L96" s="51"/>
      <c r="M96" s="51"/>
      <c r="N96" s="51"/>
      <c r="O96" s="51"/>
      <c r="P96" s="51"/>
      <c r="Q96" s="51"/>
      <c r="R96" s="51"/>
      <c r="S96" s="51"/>
      <c r="T96" s="51"/>
      <c r="U96" s="51"/>
      <c r="V96" s="51"/>
      <c r="W96" s="51"/>
      <c r="X96" s="51"/>
      <c r="Y96" s="51"/>
      <c r="Z96" s="51"/>
      <c r="AA96" s="51"/>
      <c r="AB96" s="51"/>
    </row>
    <row r="97" spans="2:28" x14ac:dyDescent="0.25">
      <c r="B97" s="51"/>
      <c r="C97" s="51"/>
      <c r="D97" s="51"/>
      <c r="E97" s="51"/>
      <c r="F97" s="51"/>
      <c r="G97" s="51"/>
      <c r="H97" s="51"/>
      <c r="I97" s="51"/>
      <c r="J97" s="51"/>
      <c r="K97" s="51"/>
      <c r="L97" s="51"/>
      <c r="M97" s="51"/>
      <c r="N97" s="51"/>
      <c r="O97" s="51"/>
      <c r="P97" s="51"/>
      <c r="Q97" s="51"/>
      <c r="R97" s="51"/>
      <c r="S97" s="51"/>
      <c r="T97" s="51"/>
      <c r="U97" s="51"/>
      <c r="V97" s="51"/>
      <c r="W97" s="51"/>
      <c r="X97" s="51"/>
      <c r="Y97" s="51"/>
      <c r="Z97" s="51"/>
      <c r="AA97" s="51"/>
      <c r="AB97" s="51"/>
    </row>
    <row r="98" spans="2:28" x14ac:dyDescent="0.25">
      <c r="B98" s="51"/>
      <c r="C98" s="51"/>
      <c r="D98" s="51"/>
      <c r="E98" s="51"/>
      <c r="F98" s="51"/>
      <c r="G98" s="51"/>
      <c r="H98" s="51"/>
      <c r="I98" s="51"/>
      <c r="J98" s="51"/>
      <c r="K98" s="51"/>
      <c r="L98" s="51"/>
      <c r="M98" s="51"/>
      <c r="N98" s="51"/>
      <c r="O98" s="51"/>
      <c r="P98" s="51"/>
      <c r="Q98" s="51"/>
      <c r="R98" s="51"/>
      <c r="S98" s="51"/>
      <c r="T98" s="51"/>
      <c r="U98" s="51"/>
      <c r="V98" s="51"/>
      <c r="W98" s="51"/>
      <c r="X98" s="51"/>
      <c r="Y98" s="51"/>
      <c r="Z98" s="51"/>
      <c r="AA98" s="51"/>
      <c r="AB98" s="51"/>
    </row>
    <row r="99" spans="2:28" x14ac:dyDescent="0.25">
      <c r="B99" s="51"/>
      <c r="C99" s="51"/>
      <c r="D99" s="51"/>
      <c r="E99" s="51"/>
      <c r="F99" s="51"/>
      <c r="G99" s="51"/>
      <c r="H99" s="51"/>
      <c r="I99" s="51"/>
      <c r="J99" s="51"/>
      <c r="K99" s="51"/>
      <c r="L99" s="51"/>
      <c r="M99" s="51"/>
      <c r="N99" s="51"/>
      <c r="O99" s="51"/>
      <c r="P99" s="51"/>
      <c r="Q99" s="51"/>
      <c r="R99" s="51"/>
      <c r="S99" s="51"/>
      <c r="T99" s="51"/>
      <c r="U99" s="51"/>
      <c r="V99" s="51"/>
      <c r="W99" s="51"/>
      <c r="X99" s="51"/>
      <c r="Y99" s="51"/>
      <c r="Z99" s="51"/>
      <c r="AA99" s="51"/>
      <c r="AB99" s="51"/>
    </row>
    <row r="100" spans="2:28" x14ac:dyDescent="0.25">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c r="AA100" s="51"/>
      <c r="AB100" s="51"/>
    </row>
    <row r="101" spans="2:28" x14ac:dyDescent="0.25">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c r="AA101" s="51"/>
      <c r="AB101" s="51"/>
    </row>
    <row r="102" spans="2:28" x14ac:dyDescent="0.25">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c r="AA102" s="51"/>
      <c r="AB102" s="51"/>
    </row>
    <row r="103" spans="2:28" x14ac:dyDescent="0.25">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c r="AA103" s="51"/>
      <c r="AB103" s="51"/>
    </row>
    <row r="104" spans="2:28" x14ac:dyDescent="0.25">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c r="AA104" s="51"/>
      <c r="AB104" s="51"/>
    </row>
    <row r="105" spans="2:28" x14ac:dyDescent="0.25">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c r="AA105" s="51"/>
      <c r="AB105" s="51"/>
    </row>
    <row r="106" spans="2:28" x14ac:dyDescent="0.25">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c r="AA106" s="51"/>
      <c r="AB106" s="51"/>
    </row>
    <row r="107" spans="2:28" x14ac:dyDescent="0.25">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c r="AA107" s="51"/>
      <c r="AB107" s="51"/>
    </row>
    <row r="108" spans="2:28" x14ac:dyDescent="0.25">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c r="AA108" s="51"/>
      <c r="AB108" s="51"/>
    </row>
    <row r="109" spans="2:28" x14ac:dyDescent="0.25">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c r="AA109" s="51"/>
      <c r="AB109" s="51"/>
    </row>
    <row r="110" spans="2:28" x14ac:dyDescent="0.25">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c r="AA110" s="51"/>
      <c r="AB110" s="51"/>
    </row>
    <row r="111" spans="2:28" x14ac:dyDescent="0.25">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c r="AA111" s="51"/>
      <c r="AB111" s="51"/>
    </row>
    <row r="112" spans="2:28" x14ac:dyDescent="0.25">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c r="AA112" s="51"/>
      <c r="AB112" s="51"/>
    </row>
    <row r="113" spans="2:28" x14ac:dyDescent="0.25">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c r="AA113" s="51"/>
      <c r="AB113" s="51"/>
    </row>
    <row r="114" spans="2:28" x14ac:dyDescent="0.25">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c r="AA114" s="51"/>
      <c r="AB114" s="51"/>
    </row>
    <row r="115" spans="2:28" x14ac:dyDescent="0.25">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c r="AA115" s="51"/>
      <c r="AB115" s="51"/>
    </row>
    <row r="116" spans="2:28" x14ac:dyDescent="0.25">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c r="AA116" s="51"/>
      <c r="AB116" s="51"/>
    </row>
    <row r="117" spans="2:28" x14ac:dyDescent="0.25">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c r="AA117" s="51"/>
      <c r="AB117" s="51"/>
    </row>
    <row r="118" spans="2:28" x14ac:dyDescent="0.25">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c r="AA118" s="51"/>
      <c r="AB118" s="51"/>
    </row>
    <row r="119" spans="2:28" x14ac:dyDescent="0.25">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c r="AA119" s="51"/>
      <c r="AB119" s="51"/>
    </row>
    <row r="120" spans="2:28" x14ac:dyDescent="0.25">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c r="AA120" s="51"/>
      <c r="AB120" s="51"/>
    </row>
    <row r="121" spans="2:28" x14ac:dyDescent="0.25">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c r="AA121" s="51"/>
      <c r="AB121" s="51"/>
    </row>
    <row r="122" spans="2:28" x14ac:dyDescent="0.25">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c r="AA122" s="51"/>
      <c r="AB122" s="51"/>
    </row>
    <row r="123" spans="2:28" x14ac:dyDescent="0.25">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c r="AA123" s="51"/>
      <c r="AB123" s="51"/>
    </row>
    <row r="124" spans="2:28" x14ac:dyDescent="0.25">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c r="AA124" s="51"/>
      <c r="AB124" s="51"/>
    </row>
    <row r="125" spans="2:28" x14ac:dyDescent="0.25">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c r="AA125" s="51"/>
      <c r="AB125" s="51"/>
    </row>
    <row r="126" spans="2:28" x14ac:dyDescent="0.25">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c r="AA126" s="51"/>
      <c r="AB126" s="51"/>
    </row>
    <row r="127" spans="2:28" x14ac:dyDescent="0.25">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c r="AA127" s="51"/>
      <c r="AB127" s="51"/>
    </row>
    <row r="128" spans="2:28" x14ac:dyDescent="0.25">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c r="AA128" s="51"/>
      <c r="AB128" s="51"/>
    </row>
    <row r="129" spans="2:28" x14ac:dyDescent="0.25">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c r="AA129" s="51"/>
      <c r="AB129" s="51"/>
    </row>
    <row r="130" spans="2:28" x14ac:dyDescent="0.25">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c r="AA130" s="51"/>
      <c r="AB130" s="51"/>
    </row>
    <row r="131" spans="2:28" x14ac:dyDescent="0.25">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c r="AA131" s="51"/>
      <c r="AB131" s="51"/>
    </row>
    <row r="132" spans="2:28" x14ac:dyDescent="0.25">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c r="AA132" s="51"/>
      <c r="AB132" s="51"/>
    </row>
    <row r="133" spans="2:28" x14ac:dyDescent="0.25">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c r="AA133" s="51"/>
      <c r="AB133" s="51"/>
    </row>
    <row r="134" spans="2:28" x14ac:dyDescent="0.25">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c r="AA134" s="51"/>
      <c r="AB134" s="51"/>
    </row>
    <row r="135" spans="2:28" x14ac:dyDescent="0.25">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row>
    <row r="136" spans="2:28" x14ac:dyDescent="0.25">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c r="AA136" s="51"/>
      <c r="AB136" s="51"/>
    </row>
    <row r="137" spans="2:28" x14ac:dyDescent="0.25">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c r="AA137" s="51"/>
      <c r="AB137" s="51"/>
    </row>
    <row r="138" spans="2:28" x14ac:dyDescent="0.25">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c r="AA138" s="51"/>
      <c r="AB138" s="51"/>
    </row>
    <row r="139" spans="2:28" x14ac:dyDescent="0.25">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c r="AA139" s="51"/>
      <c r="AB139" s="51"/>
    </row>
    <row r="140" spans="2:28" x14ac:dyDescent="0.25">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c r="AA140" s="51"/>
      <c r="AB140" s="51"/>
    </row>
    <row r="141" spans="2:28" x14ac:dyDescent="0.25">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c r="AA141" s="51"/>
      <c r="AB141" s="51"/>
    </row>
    <row r="142" spans="2:28" x14ac:dyDescent="0.25">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c r="AA142" s="51"/>
      <c r="AB142" s="51"/>
    </row>
    <row r="143" spans="2:28" x14ac:dyDescent="0.25">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c r="AA143" s="51"/>
      <c r="AB143" s="51"/>
    </row>
    <row r="144" spans="2:28" x14ac:dyDescent="0.25">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c r="AA144" s="51"/>
      <c r="AB144" s="51"/>
    </row>
    <row r="145" spans="2:28" x14ac:dyDescent="0.25">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c r="AA145" s="51"/>
      <c r="AB145" s="51"/>
    </row>
    <row r="146" spans="2:28" x14ac:dyDescent="0.25">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c r="AA146" s="51"/>
      <c r="AB146" s="51"/>
    </row>
    <row r="147" spans="2:28" x14ac:dyDescent="0.25">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c r="AA147" s="51"/>
      <c r="AB147" s="51"/>
    </row>
    <row r="148" spans="2:28" x14ac:dyDescent="0.25">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c r="AA148" s="51"/>
      <c r="AB148" s="51"/>
    </row>
    <row r="149" spans="2:28" x14ac:dyDescent="0.25">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c r="AA149" s="51"/>
      <c r="AB149" s="51"/>
    </row>
    <row r="150" spans="2:28" x14ac:dyDescent="0.25">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c r="AA150" s="51"/>
      <c r="AB150" s="51"/>
    </row>
    <row r="151" spans="2:28" x14ac:dyDescent="0.25">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c r="AA151" s="51"/>
      <c r="AB151" s="51"/>
    </row>
    <row r="152" spans="2:28" x14ac:dyDescent="0.25">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c r="AA152" s="51"/>
      <c r="AB152" s="51"/>
    </row>
    <row r="153" spans="2:28" x14ac:dyDescent="0.25">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c r="AA153" s="51"/>
      <c r="AB153" s="51"/>
    </row>
    <row r="154" spans="2:28" x14ac:dyDescent="0.25">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c r="AA154" s="51"/>
      <c r="AB154" s="51"/>
    </row>
    <row r="155" spans="2:28" x14ac:dyDescent="0.25">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c r="AA155" s="51"/>
      <c r="AB155" s="51"/>
    </row>
    <row r="156" spans="2:28" x14ac:dyDescent="0.25">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c r="AA156" s="51"/>
      <c r="AB156" s="51"/>
    </row>
    <row r="157" spans="2:28" x14ac:dyDescent="0.25">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c r="AA157" s="51"/>
      <c r="AB157" s="51"/>
    </row>
    <row r="158" spans="2:28" x14ac:dyDescent="0.25">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c r="AA158" s="51"/>
      <c r="AB158" s="51"/>
    </row>
    <row r="159" spans="2:28" x14ac:dyDescent="0.25">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c r="AA159" s="51"/>
      <c r="AB159" s="51"/>
    </row>
    <row r="160" spans="2:28" x14ac:dyDescent="0.25">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c r="AA160" s="51"/>
      <c r="AB160" s="51"/>
    </row>
    <row r="161" spans="2:28" x14ac:dyDescent="0.25">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c r="AA161" s="51"/>
      <c r="AB161" s="51"/>
    </row>
    <row r="162" spans="2:28" x14ac:dyDescent="0.25">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c r="AA162" s="51"/>
      <c r="AB162" s="51"/>
    </row>
    <row r="163" spans="2:28" x14ac:dyDescent="0.25">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c r="AA163" s="51"/>
      <c r="AB163" s="51"/>
    </row>
    <row r="164" spans="2:28" x14ac:dyDescent="0.25">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c r="AA164" s="51"/>
      <c r="AB164" s="51"/>
    </row>
    <row r="165" spans="2:28" x14ac:dyDescent="0.25">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c r="AA165" s="51"/>
      <c r="AB165" s="51"/>
    </row>
    <row r="166" spans="2:28" x14ac:dyDescent="0.25">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c r="AA166" s="51"/>
      <c r="AB166" s="51"/>
    </row>
    <row r="167" spans="2:28" x14ac:dyDescent="0.25">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c r="AA167" s="51"/>
      <c r="AB167" s="51"/>
    </row>
    <row r="168" spans="2:28" x14ac:dyDescent="0.25">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c r="AA168" s="51"/>
      <c r="AB168" s="51"/>
    </row>
    <row r="169" spans="2:28" x14ac:dyDescent="0.25">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c r="AA169" s="51"/>
      <c r="AB169" s="51"/>
    </row>
    <row r="170" spans="2:28" x14ac:dyDescent="0.25">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c r="AA170" s="51"/>
      <c r="AB170" s="51"/>
    </row>
    <row r="171" spans="2:28" x14ac:dyDescent="0.25">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c r="AA171" s="51"/>
      <c r="AB171" s="51"/>
    </row>
    <row r="172" spans="2:28" x14ac:dyDescent="0.25">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c r="AA172" s="51"/>
      <c r="AB172" s="51"/>
    </row>
    <row r="173" spans="2:28" x14ac:dyDescent="0.25">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c r="AA173" s="51"/>
      <c r="AB173" s="51"/>
    </row>
    <row r="174" spans="2:28" x14ac:dyDescent="0.25">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c r="AA174" s="51"/>
      <c r="AB174" s="51"/>
    </row>
    <row r="175" spans="2:28" x14ac:dyDescent="0.25">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c r="AA175" s="51"/>
      <c r="AB175" s="51"/>
    </row>
    <row r="176" spans="2:28" x14ac:dyDescent="0.25">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c r="AA176" s="51"/>
      <c r="AB176" s="51"/>
    </row>
    <row r="177" spans="2:28" x14ac:dyDescent="0.25">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c r="AA177" s="51"/>
      <c r="AB177" s="51"/>
    </row>
    <row r="178" spans="2:28" x14ac:dyDescent="0.25">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c r="AA178" s="51"/>
      <c r="AB178" s="51"/>
    </row>
    <row r="179" spans="2:28" x14ac:dyDescent="0.25">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c r="AA179" s="51"/>
      <c r="AB179" s="51"/>
    </row>
    <row r="180" spans="2:28" x14ac:dyDescent="0.25">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c r="AA180" s="51"/>
      <c r="AB180" s="51"/>
    </row>
    <row r="181" spans="2:28" x14ac:dyDescent="0.25">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c r="AA181" s="51"/>
      <c r="AB181" s="51"/>
    </row>
    <row r="182" spans="2:28" x14ac:dyDescent="0.25">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c r="AA182" s="51"/>
      <c r="AB182" s="51"/>
    </row>
    <row r="183" spans="2:28" x14ac:dyDescent="0.25">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c r="AA183" s="51"/>
      <c r="AB183" s="51"/>
    </row>
    <row r="184" spans="2:28" x14ac:dyDescent="0.25">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c r="AA184" s="51"/>
      <c r="AB184" s="51"/>
    </row>
    <row r="185" spans="2:28" x14ac:dyDescent="0.25">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c r="AA185" s="51"/>
      <c r="AB185" s="51"/>
    </row>
    <row r="186" spans="2:28" x14ac:dyDescent="0.25">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c r="AA186" s="51"/>
      <c r="AB186" s="51"/>
    </row>
    <row r="187" spans="2:28" x14ac:dyDescent="0.25">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c r="AA187" s="51"/>
      <c r="AB187" s="51"/>
    </row>
    <row r="188" spans="2:28" x14ac:dyDescent="0.25">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c r="AA188" s="51"/>
      <c r="AB188" s="51"/>
    </row>
    <row r="189" spans="2:28" x14ac:dyDescent="0.25">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c r="AA189" s="51"/>
      <c r="AB189" s="51"/>
    </row>
    <row r="190" spans="2:28" x14ac:dyDescent="0.25">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c r="AA190" s="51"/>
      <c r="AB190" s="51"/>
    </row>
    <row r="191" spans="2:28" x14ac:dyDescent="0.25">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c r="AA191" s="51"/>
      <c r="AB191" s="51"/>
    </row>
    <row r="192" spans="2:28" x14ac:dyDescent="0.25">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c r="AA192" s="51"/>
      <c r="AB192" s="51"/>
    </row>
    <row r="193" spans="2:28" x14ac:dyDescent="0.25">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c r="AA193" s="51"/>
      <c r="AB193" s="51"/>
    </row>
    <row r="194" spans="2:28" x14ac:dyDescent="0.25">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c r="AA194" s="51"/>
      <c r="AB194" s="51"/>
    </row>
    <row r="195" spans="2:28" x14ac:dyDescent="0.25">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c r="AA195" s="51"/>
      <c r="AB195" s="51"/>
    </row>
    <row r="196" spans="2:28" x14ac:dyDescent="0.25">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c r="AA196" s="51"/>
      <c r="AB196" s="51"/>
    </row>
    <row r="197" spans="2:28" x14ac:dyDescent="0.25">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c r="AA197" s="51"/>
      <c r="AB197" s="51"/>
    </row>
    <row r="198" spans="2:28" x14ac:dyDescent="0.25">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c r="AA198" s="51"/>
      <c r="AB198" s="51"/>
    </row>
    <row r="199" spans="2:28" x14ac:dyDescent="0.25">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c r="AA199" s="51"/>
      <c r="AB199" s="51"/>
    </row>
    <row r="200" spans="2:28" x14ac:dyDescent="0.25">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c r="AA200" s="51"/>
      <c r="AB200" s="51"/>
    </row>
    <row r="201" spans="2:28" x14ac:dyDescent="0.25">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c r="AA201" s="51"/>
      <c r="AB201" s="51"/>
    </row>
    <row r="202" spans="2:28" x14ac:dyDescent="0.25">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c r="AA202" s="51"/>
      <c r="AB202" s="51"/>
    </row>
    <row r="203" spans="2:28" x14ac:dyDescent="0.25">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c r="AA203" s="51"/>
      <c r="AB203" s="51"/>
    </row>
    <row r="204" spans="2:28" x14ac:dyDescent="0.25">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c r="AA204" s="51"/>
      <c r="AB204" s="51"/>
    </row>
    <row r="205" spans="2:28" x14ac:dyDescent="0.25">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c r="AA205" s="51"/>
      <c r="AB205" s="51"/>
    </row>
    <row r="206" spans="2:28" x14ac:dyDescent="0.25">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c r="AA206" s="51"/>
      <c r="AB206" s="51"/>
    </row>
    <row r="207" spans="2:28" x14ac:dyDescent="0.25">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c r="AA207" s="51"/>
      <c r="AB207" s="51"/>
    </row>
    <row r="208" spans="2:28" x14ac:dyDescent="0.25">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c r="AA208" s="51"/>
      <c r="AB208" s="51"/>
    </row>
    <row r="209" spans="2:28" x14ac:dyDescent="0.25">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c r="AA209" s="51"/>
      <c r="AB209" s="51"/>
    </row>
    <row r="210" spans="2:28" x14ac:dyDescent="0.25">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c r="AA210" s="51"/>
      <c r="AB210" s="51"/>
    </row>
    <row r="211" spans="2:28" x14ac:dyDescent="0.25">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c r="AA211" s="51"/>
      <c r="AB211" s="51"/>
    </row>
    <row r="212" spans="2:28" x14ac:dyDescent="0.25">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c r="AA212" s="51"/>
      <c r="AB212" s="51"/>
    </row>
    <row r="213" spans="2:28" x14ac:dyDescent="0.25">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c r="AA213" s="51"/>
      <c r="AB213" s="51"/>
    </row>
    <row r="214" spans="2:28" x14ac:dyDescent="0.25">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c r="AA214" s="51"/>
      <c r="AB214" s="51"/>
    </row>
    <row r="215" spans="2:28" x14ac:dyDescent="0.25">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c r="AA215" s="51"/>
      <c r="AB215" s="51"/>
    </row>
    <row r="216" spans="2:28" x14ac:dyDescent="0.25">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c r="AA216" s="51"/>
      <c r="AB216" s="51"/>
    </row>
    <row r="217" spans="2:28" x14ac:dyDescent="0.25">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c r="AA217" s="51"/>
      <c r="AB217" s="51"/>
    </row>
    <row r="218" spans="2:28" x14ac:dyDescent="0.25">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c r="AA218" s="51"/>
      <c r="AB218" s="51"/>
    </row>
    <row r="219" spans="2:28" x14ac:dyDescent="0.25">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c r="AA219" s="51"/>
      <c r="AB219" s="51"/>
    </row>
    <row r="220" spans="2:28" x14ac:dyDescent="0.25">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c r="AA220" s="51"/>
      <c r="AB220" s="51"/>
    </row>
    <row r="221" spans="2:28" x14ac:dyDescent="0.25">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c r="AA221" s="51"/>
      <c r="AB221" s="51"/>
    </row>
    <row r="222" spans="2:28" x14ac:dyDescent="0.25">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c r="AA222" s="51"/>
      <c r="AB222" s="51"/>
    </row>
    <row r="223" spans="2:28" x14ac:dyDescent="0.25">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c r="AA223" s="51"/>
      <c r="AB223" s="51"/>
    </row>
    <row r="224" spans="2:28" x14ac:dyDescent="0.25">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c r="AA224" s="51"/>
      <c r="AB224" s="51"/>
    </row>
    <row r="225" spans="2:28" x14ac:dyDescent="0.25">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c r="AA225" s="51"/>
      <c r="AB225" s="51"/>
    </row>
    <row r="226" spans="2:28" x14ac:dyDescent="0.25">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c r="AA226" s="51"/>
      <c r="AB226" s="51"/>
    </row>
    <row r="227" spans="2:28" x14ac:dyDescent="0.25">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c r="AA227" s="51"/>
      <c r="AB227" s="51"/>
    </row>
    <row r="228" spans="2:28" x14ac:dyDescent="0.25">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c r="AA228" s="51"/>
      <c r="AB228" s="51"/>
    </row>
    <row r="229" spans="2:28" x14ac:dyDescent="0.25">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c r="AA229" s="51"/>
      <c r="AB229" s="51"/>
    </row>
    <row r="230" spans="2:28" x14ac:dyDescent="0.25">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c r="AA230" s="51"/>
      <c r="AB230" s="51"/>
    </row>
    <row r="231" spans="2:28" x14ac:dyDescent="0.25">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c r="AB231" s="51"/>
    </row>
    <row r="232" spans="2:28" x14ac:dyDescent="0.25">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c r="AA232" s="51"/>
      <c r="AB232" s="51"/>
    </row>
    <row r="233" spans="2:28" x14ac:dyDescent="0.25">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c r="AB233" s="51"/>
    </row>
    <row r="234" spans="2:28" x14ac:dyDescent="0.25">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c r="AA234" s="51"/>
      <c r="AB234" s="51"/>
    </row>
    <row r="235" spans="2:28" x14ac:dyDescent="0.25">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c r="AA235" s="51"/>
      <c r="AB235" s="51"/>
    </row>
    <row r="236" spans="2:28" x14ac:dyDescent="0.25">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c r="AB236" s="51"/>
    </row>
    <row r="237" spans="2:28" x14ac:dyDescent="0.25">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c r="AB237" s="51"/>
    </row>
    <row r="238" spans="2:28" x14ac:dyDescent="0.25">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c r="AB238" s="51"/>
    </row>
    <row r="239" spans="2:28" x14ac:dyDescent="0.25">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c r="AB239" s="51"/>
    </row>
    <row r="240" spans="2:28" x14ac:dyDescent="0.25">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c r="AB240" s="51"/>
    </row>
    <row r="241" spans="2:28" x14ac:dyDescent="0.25">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c r="AB241" s="51"/>
    </row>
    <row r="242" spans="2:28" x14ac:dyDescent="0.25">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c r="AB242" s="51"/>
    </row>
    <row r="243" spans="2:28" x14ac:dyDescent="0.25">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c r="AB243" s="51"/>
    </row>
    <row r="244" spans="2:28" x14ac:dyDescent="0.25">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c r="AB244" s="51"/>
    </row>
    <row r="245" spans="2:28" x14ac:dyDescent="0.25">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c r="AB245" s="51"/>
    </row>
    <row r="246" spans="2:28" x14ac:dyDescent="0.25">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c r="AA246" s="51"/>
      <c r="AB246" s="51"/>
    </row>
    <row r="247" spans="2:28" x14ac:dyDescent="0.25">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c r="AA247" s="51"/>
      <c r="AB247" s="51"/>
    </row>
    <row r="248" spans="2:28" x14ac:dyDescent="0.25">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c r="AA248" s="51"/>
      <c r="AB248" s="51"/>
    </row>
    <row r="249" spans="2:28" x14ac:dyDescent="0.25">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c r="AA249" s="51"/>
      <c r="AB249" s="51"/>
    </row>
    <row r="250" spans="2:28" x14ac:dyDescent="0.25">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c r="AA250" s="51"/>
      <c r="AB250" s="51"/>
    </row>
    <row r="251" spans="2:28" x14ac:dyDescent="0.25">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c r="AA251" s="51"/>
      <c r="AB251" s="51"/>
    </row>
    <row r="252" spans="2:28" x14ac:dyDescent="0.25">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c r="AA252" s="51"/>
      <c r="AB252" s="51"/>
    </row>
    <row r="253" spans="2:28" x14ac:dyDescent="0.25">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c r="AA253" s="51"/>
      <c r="AB253" s="51"/>
    </row>
    <row r="254" spans="2:28" x14ac:dyDescent="0.25">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c r="AA254" s="51"/>
      <c r="AB254" s="51"/>
    </row>
    <row r="255" spans="2:28" x14ac:dyDescent="0.25">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c r="AA255" s="51"/>
      <c r="AB255" s="51"/>
    </row>
    <row r="256" spans="2:28" x14ac:dyDescent="0.25">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c r="AA256" s="51"/>
      <c r="AB256" s="51"/>
    </row>
    <row r="257" spans="2:28" x14ac:dyDescent="0.25">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c r="AA257" s="51"/>
      <c r="AB257" s="51"/>
    </row>
    <row r="258" spans="2:28" x14ac:dyDescent="0.25">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c r="AA258" s="51"/>
      <c r="AB258" s="51"/>
    </row>
    <row r="259" spans="2:28" x14ac:dyDescent="0.25">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c r="AB259" s="51"/>
    </row>
    <row r="260" spans="2:28" x14ac:dyDescent="0.25">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c r="AB260" s="51"/>
    </row>
    <row r="261" spans="2:28" x14ac:dyDescent="0.25">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c r="AA261" s="51"/>
      <c r="AB261" s="51"/>
    </row>
    <row r="262" spans="2:28" x14ac:dyDescent="0.25">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c r="AA262" s="51"/>
      <c r="AB262" s="51"/>
    </row>
    <row r="263" spans="2:28" x14ac:dyDescent="0.25">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c r="AA263" s="51"/>
      <c r="AB263" s="51"/>
    </row>
    <row r="264" spans="2:28" x14ac:dyDescent="0.25">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c r="AA264" s="51"/>
      <c r="AB264" s="51"/>
    </row>
    <row r="265" spans="2:28" x14ac:dyDescent="0.25">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c r="AA265" s="51"/>
      <c r="AB265" s="51"/>
    </row>
    <row r="266" spans="2:28" x14ac:dyDescent="0.25">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c r="AA266" s="51"/>
      <c r="AB266" s="51"/>
    </row>
    <row r="267" spans="2:28" x14ac:dyDescent="0.25">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c r="AA267" s="51"/>
      <c r="AB267" s="51"/>
    </row>
    <row r="268" spans="2:28" x14ac:dyDescent="0.25">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c r="AB268" s="51"/>
    </row>
    <row r="269" spans="2:28" x14ac:dyDescent="0.25">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c r="AA269" s="51"/>
      <c r="AB269" s="51"/>
    </row>
    <row r="270" spans="2:28" x14ac:dyDescent="0.25">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c r="AA270" s="51"/>
      <c r="AB270" s="51"/>
    </row>
    <row r="271" spans="2:28" x14ac:dyDescent="0.25">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c r="AA271" s="51"/>
      <c r="AB271" s="51"/>
    </row>
    <row r="272" spans="2:28" x14ac:dyDescent="0.25">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c r="AA272" s="51"/>
      <c r="AB272" s="51"/>
    </row>
    <row r="273" spans="2:28" x14ac:dyDescent="0.25">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c r="AA273" s="51"/>
      <c r="AB273" s="51"/>
    </row>
    <row r="274" spans="2:28" x14ac:dyDescent="0.25">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c r="AA274" s="51"/>
      <c r="AB274" s="51"/>
    </row>
    <row r="275" spans="2:28" x14ac:dyDescent="0.25">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c r="AA275" s="51"/>
      <c r="AB275" s="51"/>
    </row>
    <row r="276" spans="2:28" x14ac:dyDescent="0.25">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c r="AB276" s="51"/>
    </row>
    <row r="277" spans="2:28" x14ac:dyDescent="0.25">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c r="AA277" s="51"/>
      <c r="AB277" s="51"/>
    </row>
    <row r="278" spans="2:28" x14ac:dyDescent="0.25">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c r="AB278" s="51"/>
    </row>
    <row r="279" spans="2:28" x14ac:dyDescent="0.25">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c r="AB279" s="51"/>
    </row>
    <row r="280" spans="2:28" x14ac:dyDescent="0.25">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c r="AB280" s="51"/>
    </row>
    <row r="281" spans="2:28" x14ac:dyDescent="0.25">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c r="AB281" s="51"/>
    </row>
    <row r="282" spans="2:28" x14ac:dyDescent="0.25">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c r="AB282" s="51"/>
    </row>
    <row r="283" spans="2:28" x14ac:dyDescent="0.25">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c r="AB283" s="51"/>
    </row>
    <row r="284" spans="2:28" x14ac:dyDescent="0.25">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c r="AB284" s="51"/>
    </row>
    <row r="285" spans="2:28" x14ac:dyDescent="0.25">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c r="AB285" s="51"/>
    </row>
    <row r="286" spans="2:28" x14ac:dyDescent="0.25">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c r="AB286" s="51"/>
    </row>
    <row r="287" spans="2:28" x14ac:dyDescent="0.25">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c r="AB287" s="51"/>
    </row>
    <row r="288" spans="2:28" x14ac:dyDescent="0.25">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c r="AB288" s="51"/>
    </row>
    <row r="289" spans="2:28" x14ac:dyDescent="0.25">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c r="AA289" s="51"/>
      <c r="AB289" s="51"/>
    </row>
    <row r="290" spans="2:28" x14ac:dyDescent="0.25">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c r="AB290" s="51"/>
    </row>
    <row r="291" spans="2:28" x14ac:dyDescent="0.25">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c r="AA291" s="51"/>
      <c r="AB291" s="51"/>
    </row>
    <row r="292" spans="2:28" x14ac:dyDescent="0.25">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c r="AB292" s="51"/>
    </row>
    <row r="293" spans="2:28" x14ac:dyDescent="0.25">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c r="AB293" s="51"/>
    </row>
    <row r="294" spans="2:28" x14ac:dyDescent="0.25">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c r="AB294" s="51"/>
    </row>
    <row r="295" spans="2:28" x14ac:dyDescent="0.25">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c r="AB295" s="51"/>
    </row>
    <row r="296" spans="2:28" x14ac:dyDescent="0.25">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c r="AB296" s="51"/>
    </row>
    <row r="297" spans="2:28" x14ac:dyDescent="0.25">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c r="AA297" s="51"/>
      <c r="AB297" s="51"/>
    </row>
    <row r="298" spans="2:28" x14ac:dyDescent="0.25">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c r="AA298" s="51"/>
      <c r="AB298" s="51"/>
    </row>
    <row r="299" spans="2:28" x14ac:dyDescent="0.25">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c r="AA299" s="51"/>
      <c r="AB299" s="51"/>
    </row>
    <row r="300" spans="2:28" x14ac:dyDescent="0.25">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c r="AA300" s="51"/>
      <c r="AB300" s="51"/>
    </row>
    <row r="301" spans="2:28" x14ac:dyDescent="0.25">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c r="AA301" s="51"/>
      <c r="AB301" s="51"/>
    </row>
    <row r="302" spans="2:28" x14ac:dyDescent="0.25">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c r="AA302" s="51"/>
      <c r="AB302" s="51"/>
    </row>
    <row r="303" spans="2:28" x14ac:dyDescent="0.25">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c r="AA303" s="51"/>
      <c r="AB303" s="51"/>
    </row>
    <row r="304" spans="2:28" x14ac:dyDescent="0.25">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c r="AA304" s="51"/>
      <c r="AB304" s="51"/>
    </row>
    <row r="305" spans="2:28" x14ac:dyDescent="0.25">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c r="AA305" s="51"/>
      <c r="AB305" s="51"/>
    </row>
    <row r="306" spans="2:28" x14ac:dyDescent="0.25">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c r="AA306" s="51"/>
      <c r="AB306" s="51"/>
    </row>
    <row r="307" spans="2:28" x14ac:dyDescent="0.25">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c r="AA307" s="51"/>
      <c r="AB307" s="51"/>
    </row>
    <row r="308" spans="2:28" x14ac:dyDescent="0.25">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c r="AA308" s="51"/>
      <c r="AB308" s="51"/>
    </row>
    <row r="309" spans="2:28" x14ac:dyDescent="0.25">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c r="AB309" s="51"/>
    </row>
    <row r="310" spans="2:28" x14ac:dyDescent="0.25">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c r="AA310" s="51"/>
      <c r="AB310" s="51"/>
    </row>
    <row r="311" spans="2:28" x14ac:dyDescent="0.25">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c r="AA311" s="51"/>
      <c r="AB311" s="51"/>
    </row>
    <row r="312" spans="2:28" x14ac:dyDescent="0.25">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c r="AA312" s="51"/>
      <c r="AB312" s="51"/>
    </row>
    <row r="313" spans="2:28" x14ac:dyDescent="0.25">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c r="AA313" s="51"/>
      <c r="AB313" s="51"/>
    </row>
    <row r="314" spans="2:28" x14ac:dyDescent="0.25">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c r="AB314" s="51"/>
    </row>
    <row r="315" spans="2:28" x14ac:dyDescent="0.25">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c r="AB315" s="51"/>
    </row>
    <row r="316" spans="2:28" x14ac:dyDescent="0.25">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c r="AB316" s="51"/>
    </row>
    <row r="317" spans="2:28" x14ac:dyDescent="0.25">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c r="AB317" s="51"/>
    </row>
    <row r="318" spans="2:28" x14ac:dyDescent="0.25">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c r="AB318" s="51"/>
    </row>
    <row r="319" spans="2:28" x14ac:dyDescent="0.25">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c r="AB319" s="51"/>
    </row>
    <row r="320" spans="2:28" x14ac:dyDescent="0.25">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c r="AA320" s="51"/>
      <c r="AB320" s="51"/>
    </row>
    <row r="321" spans="2:28" x14ac:dyDescent="0.25">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c r="AA321" s="51"/>
      <c r="AB321" s="51"/>
    </row>
    <row r="322" spans="2:28" x14ac:dyDescent="0.25">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c r="AB322" s="51"/>
    </row>
    <row r="323" spans="2:28" x14ac:dyDescent="0.25">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c r="AB323" s="51"/>
    </row>
    <row r="324" spans="2:28" x14ac:dyDescent="0.25">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c r="AB324" s="51"/>
    </row>
    <row r="325" spans="2:28" x14ac:dyDescent="0.25">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c r="AB325" s="51"/>
    </row>
    <row r="326" spans="2:28" x14ac:dyDescent="0.25">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c r="AB326" s="51"/>
    </row>
    <row r="327" spans="2:28" x14ac:dyDescent="0.25">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c r="AB327" s="51"/>
    </row>
    <row r="328" spans="2:28" x14ac:dyDescent="0.25">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c r="AA328" s="51"/>
      <c r="AB328" s="51"/>
    </row>
    <row r="329" spans="2:28" x14ac:dyDescent="0.25">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c r="AA329" s="51"/>
      <c r="AB329" s="51"/>
    </row>
    <row r="330" spans="2:28" x14ac:dyDescent="0.25">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c r="AA330" s="51"/>
      <c r="AB330" s="51"/>
    </row>
    <row r="331" spans="2:28" x14ac:dyDescent="0.25">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c r="AA331" s="51"/>
      <c r="AB331" s="51"/>
    </row>
    <row r="332" spans="2:28" x14ac:dyDescent="0.25">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c r="AA332" s="51"/>
      <c r="AB332" s="51"/>
    </row>
    <row r="333" spans="2:28" x14ac:dyDescent="0.25">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c r="AA333" s="51"/>
      <c r="AB333" s="51"/>
    </row>
    <row r="334" spans="2:28" x14ac:dyDescent="0.25">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c r="AA334" s="51"/>
      <c r="AB334" s="51"/>
    </row>
    <row r="335" spans="2:28" x14ac:dyDescent="0.25">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c r="AA335" s="51"/>
      <c r="AB335" s="51"/>
    </row>
    <row r="336" spans="2:28" x14ac:dyDescent="0.25">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c r="AA336" s="51"/>
      <c r="AB336" s="51"/>
    </row>
    <row r="337" spans="2:28" x14ac:dyDescent="0.25">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c r="AA337" s="51"/>
      <c r="AB337" s="51"/>
    </row>
    <row r="338" spans="2:28" x14ac:dyDescent="0.25">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c r="AA338" s="51"/>
      <c r="AB338" s="51"/>
    </row>
    <row r="339" spans="2:28" x14ac:dyDescent="0.25">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c r="AA339" s="51"/>
      <c r="AB339" s="51"/>
    </row>
    <row r="340" spans="2:28" x14ac:dyDescent="0.25">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c r="AA340" s="51"/>
      <c r="AB340" s="51"/>
    </row>
    <row r="341" spans="2:28" x14ac:dyDescent="0.25">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c r="AB341" s="51"/>
    </row>
    <row r="342" spans="2:28" x14ac:dyDescent="0.25">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c r="AB342" s="51"/>
    </row>
    <row r="343" spans="2:28" x14ac:dyDescent="0.25">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c r="AB343" s="51"/>
    </row>
    <row r="344" spans="2:28" x14ac:dyDescent="0.25">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c r="AB344" s="51"/>
    </row>
    <row r="345" spans="2:28" x14ac:dyDescent="0.25">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c r="AB345" s="51"/>
    </row>
    <row r="346" spans="2:28" x14ac:dyDescent="0.25">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c r="AB346" s="51"/>
    </row>
    <row r="347" spans="2:28" x14ac:dyDescent="0.25">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c r="AA347" s="51"/>
      <c r="AB347" s="51"/>
    </row>
    <row r="348" spans="2:28" x14ac:dyDescent="0.25">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c r="AB348" s="51"/>
    </row>
    <row r="349" spans="2:28" x14ac:dyDescent="0.25">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c r="AB349" s="51"/>
    </row>
    <row r="350" spans="2:28" x14ac:dyDescent="0.25">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c r="AB350" s="51"/>
    </row>
    <row r="351" spans="2:28" x14ac:dyDescent="0.25">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c r="AB351" s="51"/>
    </row>
    <row r="352" spans="2:28" x14ac:dyDescent="0.25">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c r="AB352" s="51"/>
    </row>
    <row r="353" spans="2:28" x14ac:dyDescent="0.25">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c r="AA353" s="51"/>
      <c r="AB353" s="51"/>
    </row>
    <row r="354" spans="2:28" x14ac:dyDescent="0.25">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c r="AA354" s="51"/>
      <c r="AB354" s="51"/>
    </row>
    <row r="355" spans="2:28" x14ac:dyDescent="0.25">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c r="AA355" s="51"/>
      <c r="AB355" s="51"/>
    </row>
    <row r="356" spans="2:28" x14ac:dyDescent="0.25">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c r="AA356" s="51"/>
      <c r="AB356" s="51"/>
    </row>
    <row r="357" spans="2:28" x14ac:dyDescent="0.25">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c r="AA357" s="51"/>
      <c r="AB357" s="51"/>
    </row>
    <row r="358" spans="2:28" x14ac:dyDescent="0.25">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c r="AA358" s="51"/>
      <c r="AB358" s="51"/>
    </row>
    <row r="359" spans="2:28" x14ac:dyDescent="0.25">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c r="AA359" s="51"/>
      <c r="AB359" s="51"/>
    </row>
    <row r="360" spans="2:28" x14ac:dyDescent="0.25">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c r="AB360" s="51"/>
    </row>
    <row r="361" spans="2:28" x14ac:dyDescent="0.25">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c r="AB361" s="51"/>
    </row>
    <row r="362" spans="2:28" x14ac:dyDescent="0.25">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c r="AB362" s="51"/>
    </row>
    <row r="363" spans="2:28" x14ac:dyDescent="0.25">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c r="AB363" s="51"/>
    </row>
    <row r="364" spans="2:28" x14ac:dyDescent="0.25">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c r="AB364" s="51"/>
    </row>
    <row r="365" spans="2:28" x14ac:dyDescent="0.25">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c r="AB365" s="51"/>
    </row>
    <row r="366" spans="2:28" x14ac:dyDescent="0.25">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c r="AB366" s="51"/>
    </row>
    <row r="367" spans="2:28" x14ac:dyDescent="0.25">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c r="AA367" s="51"/>
      <c r="AB367" s="51"/>
    </row>
    <row r="368" spans="2:28" x14ac:dyDescent="0.25">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c r="AA368" s="51"/>
      <c r="AB368" s="51"/>
    </row>
    <row r="369" spans="2:28" x14ac:dyDescent="0.25">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c r="AB369" s="51"/>
    </row>
    <row r="370" spans="2:28" x14ac:dyDescent="0.25">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c r="AB370" s="51"/>
    </row>
    <row r="371" spans="2:28" x14ac:dyDescent="0.25">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c r="AB371" s="51"/>
    </row>
    <row r="372" spans="2:28" x14ac:dyDescent="0.25">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c r="AB372" s="51"/>
    </row>
    <row r="373" spans="2:28" x14ac:dyDescent="0.25">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c r="AB373" s="51"/>
    </row>
    <row r="374" spans="2:28" x14ac:dyDescent="0.25">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c r="AA374" s="51"/>
      <c r="AB374" s="51"/>
    </row>
    <row r="375" spans="2:28" x14ac:dyDescent="0.25">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c r="AA375" s="51"/>
      <c r="AB375" s="51"/>
    </row>
    <row r="376" spans="2:28" x14ac:dyDescent="0.25">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c r="AB376" s="51"/>
    </row>
    <row r="377" spans="2:28" x14ac:dyDescent="0.25">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c r="AB377" s="51"/>
    </row>
    <row r="378" spans="2:28" x14ac:dyDescent="0.25">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c r="AB378" s="51"/>
    </row>
    <row r="379" spans="2:28" x14ac:dyDescent="0.25">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c r="AB379" s="51"/>
    </row>
    <row r="380" spans="2:28" x14ac:dyDescent="0.25">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c r="AA380" s="51"/>
      <c r="AB380" s="51"/>
    </row>
    <row r="381" spans="2:28" x14ac:dyDescent="0.25">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c r="AB381" s="51"/>
    </row>
    <row r="382" spans="2:28" x14ac:dyDescent="0.25">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c r="AB382" s="51"/>
    </row>
    <row r="383" spans="2:28" x14ac:dyDescent="0.25">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c r="AA383" s="51"/>
      <c r="AB383" s="51"/>
    </row>
    <row r="384" spans="2:28" x14ac:dyDescent="0.25">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c r="AA384" s="51"/>
      <c r="AB384" s="51"/>
    </row>
    <row r="385" spans="2:28" x14ac:dyDescent="0.25">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c r="AA385" s="51"/>
      <c r="AB385" s="51"/>
    </row>
    <row r="386" spans="2:28" x14ac:dyDescent="0.25">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c r="AA386" s="51"/>
      <c r="AB386" s="51"/>
    </row>
    <row r="387" spans="2:28" x14ac:dyDescent="0.25">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c r="AA387" s="51"/>
      <c r="AB387" s="51"/>
    </row>
    <row r="388" spans="2:28" x14ac:dyDescent="0.25">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c r="AB388" s="51"/>
    </row>
    <row r="389" spans="2:28" x14ac:dyDescent="0.25">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c r="AB389" s="51"/>
    </row>
    <row r="390" spans="2:28" x14ac:dyDescent="0.25">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c r="AA390" s="51"/>
      <c r="AB390" s="51"/>
    </row>
    <row r="391" spans="2:28" x14ac:dyDescent="0.25">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c r="AA391" s="51"/>
      <c r="AB391" s="51"/>
    </row>
    <row r="392" spans="2:28" x14ac:dyDescent="0.25">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c r="AA392" s="51"/>
      <c r="AB392" s="51"/>
    </row>
    <row r="393" spans="2:28" x14ac:dyDescent="0.25">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c r="AA393" s="51"/>
      <c r="AB393" s="51"/>
    </row>
    <row r="394" spans="2:28" x14ac:dyDescent="0.25">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c r="AA394" s="51"/>
      <c r="AB394" s="51"/>
    </row>
    <row r="395" spans="2:28" x14ac:dyDescent="0.25">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c r="AB395" s="51"/>
    </row>
    <row r="396" spans="2:28" x14ac:dyDescent="0.25">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c r="AB396" s="51"/>
    </row>
    <row r="397" spans="2:28" x14ac:dyDescent="0.25">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c r="AA397" s="51"/>
      <c r="AB397" s="51"/>
    </row>
    <row r="398" spans="2:28" x14ac:dyDescent="0.25">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c r="AA398" s="51"/>
      <c r="AB398" s="51"/>
    </row>
    <row r="399" spans="2:28" x14ac:dyDescent="0.25">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c r="AA399" s="51"/>
      <c r="AB399" s="51"/>
    </row>
    <row r="400" spans="2:28" x14ac:dyDescent="0.25">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c r="AA400" s="51"/>
      <c r="AB400" s="51"/>
    </row>
    <row r="401" spans="2:28" x14ac:dyDescent="0.25">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c r="AA401" s="51"/>
      <c r="AB401" s="51"/>
    </row>
    <row r="402" spans="2:28" x14ac:dyDescent="0.25">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c r="AA402" s="51"/>
      <c r="AB402" s="51"/>
    </row>
    <row r="403" spans="2:28" x14ac:dyDescent="0.25">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c r="AA403" s="51"/>
      <c r="AB403" s="51"/>
    </row>
    <row r="404" spans="2:28" x14ac:dyDescent="0.25">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c r="AA404" s="51"/>
      <c r="AB404" s="51"/>
    </row>
    <row r="405" spans="2:28" x14ac:dyDescent="0.25">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c r="AA405" s="51"/>
      <c r="AB405" s="51"/>
    </row>
    <row r="406" spans="2:28" x14ac:dyDescent="0.25">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c r="AA406" s="51"/>
      <c r="AB406" s="51"/>
    </row>
    <row r="407" spans="2:28" x14ac:dyDescent="0.25">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c r="AA407" s="51"/>
      <c r="AB407" s="51"/>
    </row>
    <row r="408" spans="2:28" x14ac:dyDescent="0.25">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c r="AA408" s="51"/>
      <c r="AB408" s="51"/>
    </row>
    <row r="409" spans="2:28" x14ac:dyDescent="0.25">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c r="AA409" s="51"/>
      <c r="AB409" s="51"/>
    </row>
    <row r="410" spans="2:28" x14ac:dyDescent="0.25">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c r="AA410" s="51"/>
      <c r="AB410" s="51"/>
    </row>
    <row r="411" spans="2:28" x14ac:dyDescent="0.25">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c r="AA411" s="51"/>
      <c r="AB411" s="51"/>
    </row>
    <row r="412" spans="2:28" x14ac:dyDescent="0.25">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c r="AA412" s="51"/>
      <c r="AB412" s="51"/>
    </row>
    <row r="413" spans="2:28" x14ac:dyDescent="0.25">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c r="AA413" s="51"/>
      <c r="AB413" s="51"/>
    </row>
    <row r="414" spans="2:28" x14ac:dyDescent="0.25">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c r="AA414" s="51"/>
      <c r="AB414" s="51"/>
    </row>
    <row r="415" spans="2:28" x14ac:dyDescent="0.25">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c r="AA415" s="51"/>
      <c r="AB415" s="51"/>
    </row>
    <row r="416" spans="2:28" x14ac:dyDescent="0.25">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c r="AA416" s="51"/>
      <c r="AB416" s="51"/>
    </row>
    <row r="417" spans="2:28" x14ac:dyDescent="0.25">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c r="AA417" s="51"/>
      <c r="AB417" s="51"/>
    </row>
    <row r="418" spans="2:28" x14ac:dyDescent="0.25">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c r="AA418" s="51"/>
      <c r="AB418" s="51"/>
    </row>
    <row r="419" spans="2:28" x14ac:dyDescent="0.25">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c r="AA419" s="51"/>
      <c r="AB419" s="51"/>
    </row>
    <row r="420" spans="2:28" x14ac:dyDescent="0.25">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c r="AA420" s="51"/>
      <c r="AB420" s="51"/>
    </row>
    <row r="421" spans="2:28" x14ac:dyDescent="0.25">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c r="AA421" s="51"/>
      <c r="AB421" s="51"/>
    </row>
    <row r="422" spans="2:28" x14ac:dyDescent="0.25">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c r="AA422" s="51"/>
      <c r="AB422" s="51"/>
    </row>
    <row r="423" spans="2:28" x14ac:dyDescent="0.25">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c r="AA423" s="51"/>
      <c r="AB423" s="51"/>
    </row>
    <row r="424" spans="2:28" x14ac:dyDescent="0.25">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c r="AA424" s="51"/>
      <c r="AB424" s="51"/>
    </row>
    <row r="425" spans="2:28" x14ac:dyDescent="0.25">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c r="AA425" s="51"/>
      <c r="AB425" s="51"/>
    </row>
    <row r="426" spans="2:28" x14ac:dyDescent="0.25">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c r="AA426" s="51"/>
      <c r="AB426" s="51"/>
    </row>
    <row r="427" spans="2:28" x14ac:dyDescent="0.25">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c r="AA427" s="51"/>
      <c r="AB427" s="51"/>
    </row>
    <row r="428" spans="2:28" x14ac:dyDescent="0.25">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c r="AA428" s="51"/>
      <c r="AB428" s="51"/>
    </row>
    <row r="429" spans="2:28" x14ac:dyDescent="0.25">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c r="AA429" s="51"/>
      <c r="AB429" s="51"/>
    </row>
    <row r="430" spans="2:28" x14ac:dyDescent="0.25">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c r="AA430" s="51"/>
      <c r="AB430" s="51"/>
    </row>
    <row r="431" spans="2:28" x14ac:dyDescent="0.25">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c r="AA431" s="51"/>
      <c r="AB431" s="51"/>
    </row>
    <row r="432" spans="2:28" x14ac:dyDescent="0.25">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c r="AA432" s="51"/>
      <c r="AB432" s="51"/>
    </row>
    <row r="433" spans="2:28" x14ac:dyDescent="0.25">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c r="AA433" s="51"/>
      <c r="AB433" s="51"/>
    </row>
    <row r="434" spans="2:28" x14ac:dyDescent="0.25">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c r="AA434" s="51"/>
      <c r="AB434" s="51"/>
    </row>
    <row r="435" spans="2:28" x14ac:dyDescent="0.25">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c r="AA435" s="51"/>
      <c r="AB435" s="51"/>
    </row>
    <row r="436" spans="2:28" x14ac:dyDescent="0.25">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c r="AA436" s="51"/>
      <c r="AB436" s="51"/>
    </row>
    <row r="437" spans="2:28" x14ac:dyDescent="0.25">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c r="AA437" s="51"/>
      <c r="AB437" s="51"/>
    </row>
    <row r="438" spans="2:28" x14ac:dyDescent="0.25">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c r="AA438" s="51"/>
      <c r="AB438" s="51"/>
    </row>
    <row r="439" spans="2:28" x14ac:dyDescent="0.25">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c r="AA439" s="51"/>
      <c r="AB439" s="51"/>
    </row>
    <row r="440" spans="2:28" x14ac:dyDescent="0.25">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c r="AA440" s="51"/>
      <c r="AB440" s="51"/>
    </row>
    <row r="441" spans="2:28" x14ac:dyDescent="0.25">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c r="AA441" s="51"/>
      <c r="AB441" s="51"/>
    </row>
    <row r="442" spans="2:28" x14ac:dyDescent="0.25">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c r="AA442" s="51"/>
      <c r="AB442" s="51"/>
    </row>
    <row r="443" spans="2:28" x14ac:dyDescent="0.25">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c r="AA443" s="51"/>
      <c r="AB443" s="51"/>
    </row>
    <row r="444" spans="2:28" x14ac:dyDescent="0.25">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c r="AA444" s="51"/>
      <c r="AB444" s="51"/>
    </row>
    <row r="445" spans="2:28" x14ac:dyDescent="0.25">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c r="AA445" s="51"/>
      <c r="AB445" s="51"/>
    </row>
    <row r="446" spans="2:28" x14ac:dyDescent="0.25">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c r="AA446" s="51"/>
      <c r="AB446" s="51"/>
    </row>
    <row r="447" spans="2:28" x14ac:dyDescent="0.25">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c r="AA447" s="51"/>
      <c r="AB447" s="51"/>
    </row>
    <row r="448" spans="2:28" x14ac:dyDescent="0.25">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c r="AA448" s="51"/>
      <c r="AB448" s="51"/>
    </row>
    <row r="449" spans="2:28" x14ac:dyDescent="0.25">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c r="AA449" s="51"/>
      <c r="AB449" s="51"/>
    </row>
    <row r="450" spans="2:28" x14ac:dyDescent="0.25">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c r="AA450" s="51"/>
      <c r="AB450" s="51"/>
    </row>
    <row r="451" spans="2:28" x14ac:dyDescent="0.25">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c r="AA451" s="51"/>
      <c r="AB451" s="51"/>
    </row>
    <row r="452" spans="2:28" x14ac:dyDescent="0.25">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c r="AA452" s="51"/>
      <c r="AB452" s="51"/>
    </row>
    <row r="453" spans="2:28" x14ac:dyDescent="0.25">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c r="AA453" s="51"/>
      <c r="AB453" s="51"/>
    </row>
    <row r="454" spans="2:28" x14ac:dyDescent="0.25">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c r="AA454" s="51"/>
      <c r="AB454" s="51"/>
    </row>
    <row r="455" spans="2:28" x14ac:dyDescent="0.25">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c r="AA455" s="51"/>
      <c r="AB455" s="51"/>
    </row>
    <row r="456" spans="2:28" x14ac:dyDescent="0.25">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c r="AA456" s="51"/>
      <c r="AB456" s="51"/>
    </row>
    <row r="457" spans="2:28" x14ac:dyDescent="0.25">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c r="AA457" s="51"/>
      <c r="AB457" s="51"/>
    </row>
    <row r="458" spans="2:28" x14ac:dyDescent="0.25">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c r="AA458" s="51"/>
      <c r="AB458" s="51"/>
    </row>
    <row r="459" spans="2:28" x14ac:dyDescent="0.25">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c r="AA459" s="51"/>
      <c r="AB459" s="51"/>
    </row>
    <row r="460" spans="2:28" x14ac:dyDescent="0.25">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c r="AA460" s="51"/>
      <c r="AB460" s="51"/>
    </row>
    <row r="461" spans="2:28" x14ac:dyDescent="0.25">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c r="AA461" s="51"/>
      <c r="AB461" s="51"/>
    </row>
    <row r="462" spans="2:28" x14ac:dyDescent="0.25">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c r="AA462" s="51"/>
      <c r="AB462" s="51"/>
    </row>
    <row r="463" spans="2:28" x14ac:dyDescent="0.25">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c r="AA463" s="51"/>
      <c r="AB463" s="51"/>
    </row>
    <row r="464" spans="2:28" x14ac:dyDescent="0.25">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c r="AA464" s="51"/>
      <c r="AB464" s="51"/>
    </row>
    <row r="465" spans="2:28" x14ac:dyDescent="0.25">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c r="AA465" s="51"/>
      <c r="AB465" s="51"/>
    </row>
    <row r="466" spans="2:28" x14ac:dyDescent="0.25">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c r="AA466" s="51"/>
      <c r="AB466" s="51"/>
    </row>
    <row r="467" spans="2:28" x14ac:dyDescent="0.25">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c r="AA467" s="51"/>
      <c r="AB467" s="51"/>
    </row>
    <row r="468" spans="2:28" x14ac:dyDescent="0.25">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c r="AA468" s="51"/>
      <c r="AB468" s="51"/>
    </row>
    <row r="469" spans="2:28" x14ac:dyDescent="0.25">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c r="AA469" s="51"/>
      <c r="AB469" s="51"/>
    </row>
    <row r="470" spans="2:28" x14ac:dyDescent="0.25">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c r="AA470" s="51"/>
      <c r="AB470" s="51"/>
    </row>
    <row r="471" spans="2:28" x14ac:dyDescent="0.25">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c r="AA471" s="51"/>
      <c r="AB471" s="51"/>
    </row>
    <row r="472" spans="2:28" x14ac:dyDescent="0.25">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c r="AA472" s="51"/>
      <c r="AB472" s="51"/>
    </row>
    <row r="473" spans="2:28" x14ac:dyDescent="0.25">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c r="AA473" s="51"/>
      <c r="AB473" s="51"/>
    </row>
    <row r="474" spans="2:28" x14ac:dyDescent="0.25">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c r="AA474" s="51"/>
      <c r="AB474" s="51"/>
    </row>
    <row r="475" spans="2:28" x14ac:dyDescent="0.25">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c r="AA475" s="51"/>
      <c r="AB475" s="51"/>
    </row>
    <row r="476" spans="2:28" x14ac:dyDescent="0.25">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c r="AA476" s="51"/>
      <c r="AB476" s="51"/>
    </row>
    <row r="477" spans="2:28" x14ac:dyDescent="0.25">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c r="AA477" s="51"/>
      <c r="AB477" s="51"/>
    </row>
    <row r="478" spans="2:28" x14ac:dyDescent="0.25">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c r="AA478" s="51"/>
      <c r="AB478" s="51"/>
    </row>
    <row r="479" spans="2:28" x14ac:dyDescent="0.25">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c r="AA479" s="51"/>
      <c r="AB479" s="51"/>
    </row>
    <row r="480" spans="2:28" x14ac:dyDescent="0.25">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c r="AA480" s="51"/>
      <c r="AB480" s="51"/>
    </row>
    <row r="481" spans="2:28" x14ac:dyDescent="0.25">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c r="AA481" s="51"/>
      <c r="AB481" s="51"/>
    </row>
    <row r="482" spans="2:28" x14ac:dyDescent="0.25">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c r="AA482" s="51"/>
      <c r="AB482" s="51"/>
    </row>
    <row r="483" spans="2:28" x14ac:dyDescent="0.25">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c r="AA483" s="51"/>
      <c r="AB483" s="51"/>
    </row>
    <row r="484" spans="2:28" x14ac:dyDescent="0.25">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c r="AA484" s="51"/>
      <c r="AB484" s="51"/>
    </row>
    <row r="485" spans="2:28" x14ac:dyDescent="0.25">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c r="AA485" s="51"/>
      <c r="AB485" s="51"/>
    </row>
    <row r="486" spans="2:28" x14ac:dyDescent="0.25">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c r="AA486" s="51"/>
      <c r="AB486" s="51"/>
    </row>
    <row r="487" spans="2:28" x14ac:dyDescent="0.25">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c r="AA487" s="51"/>
      <c r="AB487" s="51"/>
    </row>
    <row r="488" spans="2:28" x14ac:dyDescent="0.25">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c r="AA488" s="51"/>
      <c r="AB488" s="51"/>
    </row>
    <row r="489" spans="2:28" x14ac:dyDescent="0.25">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c r="AA489" s="51"/>
      <c r="AB489" s="51"/>
    </row>
    <row r="490" spans="2:28" x14ac:dyDescent="0.25">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c r="AA490" s="51"/>
      <c r="AB490" s="51"/>
    </row>
    <row r="491" spans="2:28" x14ac:dyDescent="0.25">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c r="AA491" s="51"/>
      <c r="AB491" s="51"/>
    </row>
    <row r="492" spans="2:28" x14ac:dyDescent="0.25">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c r="AA492" s="51"/>
      <c r="AB492" s="51"/>
    </row>
    <row r="493" spans="2:28" x14ac:dyDescent="0.25">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c r="AA493" s="51"/>
      <c r="AB493" s="51"/>
    </row>
    <row r="494" spans="2:28" x14ac:dyDescent="0.25">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c r="AA494" s="51"/>
      <c r="AB494" s="51"/>
    </row>
    <row r="495" spans="2:28" x14ac:dyDescent="0.25">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c r="AA495" s="51"/>
      <c r="AB495" s="51"/>
    </row>
    <row r="496" spans="2:28" x14ac:dyDescent="0.25">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c r="AA496" s="51"/>
      <c r="AB496" s="51"/>
    </row>
    <row r="497" spans="2:28" x14ac:dyDescent="0.25">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c r="AA497" s="51"/>
      <c r="AB497" s="51"/>
    </row>
    <row r="498" spans="2:28" x14ac:dyDescent="0.25">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c r="AA498" s="51"/>
      <c r="AB498" s="51"/>
    </row>
    <row r="499" spans="2:28" x14ac:dyDescent="0.25">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c r="AA499" s="51"/>
      <c r="AB499" s="51"/>
    </row>
    <row r="500" spans="2:28" x14ac:dyDescent="0.25">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c r="AA500" s="51"/>
      <c r="AB500" s="51"/>
    </row>
    <row r="501" spans="2:28" x14ac:dyDescent="0.25">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c r="AA501" s="51"/>
      <c r="AB501" s="51"/>
    </row>
    <row r="502" spans="2:28" x14ac:dyDescent="0.25">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c r="AA502" s="51"/>
      <c r="AB502" s="51"/>
    </row>
    <row r="503" spans="2:28" x14ac:dyDescent="0.25">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c r="AA503" s="51"/>
      <c r="AB503" s="51"/>
    </row>
    <row r="504" spans="2:28" x14ac:dyDescent="0.25">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c r="AA504" s="51"/>
      <c r="AB504" s="51"/>
    </row>
    <row r="505" spans="2:28" x14ac:dyDescent="0.25">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c r="AA505" s="51"/>
      <c r="AB505" s="51"/>
    </row>
    <row r="506" spans="2:28" x14ac:dyDescent="0.25">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c r="AA506" s="51"/>
      <c r="AB506" s="51"/>
    </row>
    <row r="507" spans="2:28" x14ac:dyDescent="0.25">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c r="AA507" s="51"/>
      <c r="AB507" s="51"/>
    </row>
    <row r="508" spans="2:28" x14ac:dyDescent="0.25">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c r="AA508" s="51"/>
      <c r="AB508" s="51"/>
    </row>
    <row r="509" spans="2:28" x14ac:dyDescent="0.25">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c r="AA509" s="51"/>
      <c r="AB509" s="51"/>
    </row>
    <row r="510" spans="2:28" x14ac:dyDescent="0.25">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c r="AA510" s="51"/>
      <c r="AB510" s="51"/>
    </row>
    <row r="511" spans="2:28" x14ac:dyDescent="0.25">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c r="AA511" s="51"/>
      <c r="AB511" s="51"/>
    </row>
    <row r="512" spans="2:28" x14ac:dyDescent="0.25">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c r="AA512" s="51"/>
      <c r="AB512" s="51"/>
    </row>
    <row r="513" spans="2:28" x14ac:dyDescent="0.25">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c r="AA513" s="51"/>
      <c r="AB513" s="51"/>
    </row>
    <row r="514" spans="2:28" x14ac:dyDescent="0.25">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c r="AA514" s="51"/>
      <c r="AB514" s="51"/>
    </row>
    <row r="515" spans="2:28" x14ac:dyDescent="0.25">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c r="AA515" s="51"/>
      <c r="AB515" s="51"/>
    </row>
    <row r="516" spans="2:28" x14ac:dyDescent="0.25">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c r="AA516" s="51"/>
      <c r="AB516" s="51"/>
    </row>
    <row r="517" spans="2:28" x14ac:dyDescent="0.25">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c r="AA517" s="51"/>
      <c r="AB517" s="51"/>
    </row>
    <row r="518" spans="2:28" x14ac:dyDescent="0.25">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c r="AA518" s="51"/>
      <c r="AB518" s="51"/>
    </row>
    <row r="519" spans="2:28" x14ac:dyDescent="0.25">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c r="AA519" s="51"/>
      <c r="AB519" s="51"/>
    </row>
    <row r="520" spans="2:28" x14ac:dyDescent="0.25">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c r="AA520" s="51"/>
      <c r="AB520" s="51"/>
    </row>
    <row r="521" spans="2:28" x14ac:dyDescent="0.25">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c r="AA521" s="51"/>
      <c r="AB521" s="51"/>
    </row>
    <row r="522" spans="2:28" x14ac:dyDescent="0.25">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c r="AA522" s="51"/>
      <c r="AB522" s="51"/>
    </row>
    <row r="523" spans="2:28" x14ac:dyDescent="0.25">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c r="AA523" s="51"/>
      <c r="AB523" s="51"/>
    </row>
    <row r="524" spans="2:28" x14ac:dyDescent="0.25">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c r="AA524" s="51"/>
      <c r="AB524" s="51"/>
    </row>
    <row r="525" spans="2:28" x14ac:dyDescent="0.25">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c r="AA525" s="51"/>
      <c r="AB525" s="51"/>
    </row>
    <row r="526" spans="2:28" x14ac:dyDescent="0.25">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c r="AA526" s="51"/>
      <c r="AB526" s="51"/>
    </row>
    <row r="527" spans="2:28" x14ac:dyDescent="0.25">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c r="AA527" s="51"/>
      <c r="AB527" s="51"/>
    </row>
    <row r="528" spans="2:28" x14ac:dyDescent="0.25">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c r="AA528" s="51"/>
      <c r="AB528" s="51"/>
    </row>
    <row r="529" spans="2:28" x14ac:dyDescent="0.25">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c r="AA529" s="51"/>
      <c r="AB529" s="51"/>
    </row>
    <row r="530" spans="2:28" x14ac:dyDescent="0.25">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c r="AA530" s="51"/>
      <c r="AB530" s="51"/>
    </row>
    <row r="531" spans="2:28" x14ac:dyDescent="0.25">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c r="AA531" s="51"/>
      <c r="AB531" s="51"/>
    </row>
    <row r="532" spans="2:28" x14ac:dyDescent="0.25">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c r="AA532" s="51"/>
      <c r="AB532" s="51"/>
    </row>
    <row r="533" spans="2:28" x14ac:dyDescent="0.25">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c r="AA533" s="51"/>
      <c r="AB533" s="51"/>
    </row>
    <row r="534" spans="2:28" x14ac:dyDescent="0.25">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c r="AA534" s="51"/>
      <c r="AB534" s="51"/>
    </row>
    <row r="535" spans="2:28" x14ac:dyDescent="0.25">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c r="AB535" s="51"/>
    </row>
    <row r="536" spans="2:28" x14ac:dyDescent="0.25">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c r="AA536" s="51"/>
      <c r="AB536" s="51"/>
    </row>
    <row r="537" spans="2:28" x14ac:dyDescent="0.25">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c r="AA537" s="51"/>
      <c r="AB537" s="51"/>
    </row>
    <row r="538" spans="2:28" x14ac:dyDescent="0.25">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c r="AA538" s="51"/>
      <c r="AB538" s="51"/>
    </row>
    <row r="539" spans="2:28" x14ac:dyDescent="0.25">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c r="AB539" s="51"/>
    </row>
    <row r="540" spans="2:28" x14ac:dyDescent="0.25">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c r="AA540" s="51"/>
      <c r="AB540" s="51"/>
    </row>
    <row r="541" spans="2:28" x14ac:dyDescent="0.25">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c r="AA541" s="51"/>
      <c r="AB541" s="51"/>
    </row>
    <row r="542" spans="2:28" x14ac:dyDescent="0.25">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c r="AA542" s="51"/>
      <c r="AB542" s="51"/>
    </row>
    <row r="543" spans="2:28" x14ac:dyDescent="0.25">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c r="AA543" s="51"/>
      <c r="AB543" s="51"/>
    </row>
    <row r="544" spans="2:28" x14ac:dyDescent="0.25">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c r="AA544" s="51"/>
      <c r="AB544" s="51"/>
    </row>
    <row r="545" spans="2:28" x14ac:dyDescent="0.25">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c r="AA545" s="51"/>
      <c r="AB545" s="51"/>
    </row>
    <row r="546" spans="2:28" x14ac:dyDescent="0.25">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c r="AA546" s="51"/>
      <c r="AB546" s="51"/>
    </row>
    <row r="547" spans="2:28" x14ac:dyDescent="0.25">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c r="AA547" s="51"/>
      <c r="AB547" s="51"/>
    </row>
    <row r="548" spans="2:28" x14ac:dyDescent="0.25">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c r="AA548" s="51"/>
      <c r="AB548" s="51"/>
    </row>
    <row r="549" spans="2:28" x14ac:dyDescent="0.25">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c r="AA549" s="51"/>
      <c r="AB549" s="51"/>
    </row>
    <row r="550" spans="2:28" x14ac:dyDescent="0.25">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c r="AA550" s="51"/>
      <c r="AB550" s="51"/>
    </row>
    <row r="551" spans="2:28" x14ac:dyDescent="0.25">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c r="AA551" s="51"/>
      <c r="AB551" s="51"/>
    </row>
    <row r="552" spans="2:28" x14ac:dyDescent="0.25">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c r="AB552" s="51"/>
    </row>
    <row r="553" spans="2:28" x14ac:dyDescent="0.25">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c r="AB553" s="51"/>
    </row>
    <row r="554" spans="2:28" x14ac:dyDescent="0.25">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c r="AB554" s="51"/>
    </row>
    <row r="555" spans="2:28" x14ac:dyDescent="0.25">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c r="AB555" s="51"/>
    </row>
    <row r="556" spans="2:28" x14ac:dyDescent="0.25">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c r="AB556" s="51"/>
    </row>
    <row r="557" spans="2:28" x14ac:dyDescent="0.25">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c r="AB557" s="51"/>
    </row>
    <row r="558" spans="2:28" x14ac:dyDescent="0.25">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c r="AB558" s="51"/>
    </row>
    <row r="559" spans="2:28" x14ac:dyDescent="0.25">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c r="AB559" s="51"/>
    </row>
    <row r="560" spans="2:28" x14ac:dyDescent="0.25">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c r="AB560" s="51"/>
    </row>
    <row r="561" spans="2:28" x14ac:dyDescent="0.25">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c r="AB561" s="51"/>
    </row>
    <row r="562" spans="2:28" x14ac:dyDescent="0.25">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c r="AB562" s="51"/>
    </row>
    <row r="563" spans="2:28" x14ac:dyDescent="0.25">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c r="AB563" s="51"/>
    </row>
    <row r="564" spans="2:28" x14ac:dyDescent="0.25">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c r="AB564" s="51"/>
    </row>
    <row r="565" spans="2:28" x14ac:dyDescent="0.25">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c r="AA565" s="51"/>
      <c r="AB565" s="51"/>
    </row>
    <row r="566" spans="2:28" x14ac:dyDescent="0.25">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c r="AB566" s="51"/>
    </row>
    <row r="567" spans="2:28" x14ac:dyDescent="0.25">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c r="AB567" s="51"/>
    </row>
    <row r="568" spans="2:28" x14ac:dyDescent="0.25">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c r="AA568" s="51"/>
      <c r="AB568" s="51"/>
    </row>
    <row r="569" spans="2:28" x14ac:dyDescent="0.25">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c r="AB569" s="51"/>
    </row>
    <row r="570" spans="2:28" x14ac:dyDescent="0.25">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c r="AA570" s="51"/>
      <c r="AB570" s="51"/>
    </row>
    <row r="571" spans="2:28" x14ac:dyDescent="0.25">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c r="AB571" s="51"/>
    </row>
    <row r="572" spans="2:28" x14ac:dyDescent="0.25">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c r="AB572" s="51"/>
    </row>
    <row r="573" spans="2:28" x14ac:dyDescent="0.25">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c r="AB573" s="51"/>
    </row>
    <row r="574" spans="2:28" x14ac:dyDescent="0.25">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c r="AB574" s="51"/>
    </row>
    <row r="575" spans="2:28" x14ac:dyDescent="0.25">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c r="AB575" s="51"/>
    </row>
    <row r="576" spans="2:28" x14ac:dyDescent="0.25">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c r="AB576" s="51"/>
    </row>
    <row r="577" spans="2:28" x14ac:dyDescent="0.25">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c r="AB577" s="51"/>
    </row>
    <row r="578" spans="2:28" x14ac:dyDescent="0.25">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c r="AB578" s="51"/>
    </row>
    <row r="579" spans="2:28" x14ac:dyDescent="0.25">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c r="AA579" s="51"/>
      <c r="AB579" s="51"/>
    </row>
    <row r="580" spans="2:28" x14ac:dyDescent="0.25">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c r="AB580" s="51"/>
    </row>
    <row r="581" spans="2:28" x14ac:dyDescent="0.25">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c r="AB581" s="51"/>
    </row>
    <row r="582" spans="2:28" x14ac:dyDescent="0.25">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c r="AA582" s="51"/>
      <c r="AB582" s="51"/>
    </row>
    <row r="583" spans="2:28" x14ac:dyDescent="0.25">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c r="AB583" s="51"/>
    </row>
    <row r="584" spans="2:28" x14ac:dyDescent="0.25">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c r="AB584" s="51"/>
    </row>
    <row r="585" spans="2:28" x14ac:dyDescent="0.25">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c r="AA585" s="51"/>
      <c r="AB585" s="51"/>
    </row>
    <row r="586" spans="2:28" x14ac:dyDescent="0.25">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c r="AB586" s="51"/>
    </row>
    <row r="587" spans="2:28" x14ac:dyDescent="0.25">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c r="AB587" s="51"/>
    </row>
    <row r="588" spans="2:28" x14ac:dyDescent="0.25">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c r="AB588" s="51"/>
    </row>
    <row r="589" spans="2:28" x14ac:dyDescent="0.25">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c r="AB589" s="51"/>
    </row>
    <row r="590" spans="2:28" x14ac:dyDescent="0.25">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c r="AB590" s="51"/>
    </row>
    <row r="591" spans="2:28" x14ac:dyDescent="0.25">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c r="AA591" s="51"/>
      <c r="AB591" s="51"/>
    </row>
    <row r="592" spans="2:28" x14ac:dyDescent="0.25">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c r="AA592" s="51"/>
      <c r="AB592" s="51"/>
    </row>
    <row r="593" spans="2:28" x14ac:dyDescent="0.25">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c r="AA593" s="51"/>
      <c r="AB593" s="51"/>
    </row>
    <row r="594" spans="2:28" x14ac:dyDescent="0.25">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c r="AA594" s="51"/>
      <c r="AB594" s="51"/>
    </row>
    <row r="595" spans="2:28" x14ac:dyDescent="0.25">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c r="AA595" s="51"/>
      <c r="AB595" s="51"/>
    </row>
    <row r="596" spans="2:28" x14ac:dyDescent="0.25">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c r="AA596" s="51"/>
      <c r="AB596" s="51"/>
    </row>
    <row r="597" spans="2:28" x14ac:dyDescent="0.25">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c r="AA597" s="51"/>
      <c r="AB597" s="51"/>
    </row>
    <row r="598" spans="2:28" x14ac:dyDescent="0.25">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c r="AA598" s="51"/>
      <c r="AB598" s="51"/>
    </row>
    <row r="599" spans="2:28" x14ac:dyDescent="0.25">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c r="AA599" s="51"/>
      <c r="AB599" s="51"/>
    </row>
    <row r="600" spans="2:28" x14ac:dyDescent="0.25">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c r="AA600" s="51"/>
      <c r="AB600" s="51"/>
    </row>
    <row r="601" spans="2:28" x14ac:dyDescent="0.25">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c r="AA601" s="51"/>
      <c r="AB601" s="51"/>
    </row>
    <row r="602" spans="2:28" x14ac:dyDescent="0.25">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c r="AA602" s="51"/>
      <c r="AB602" s="51"/>
    </row>
    <row r="603" spans="2:28" x14ac:dyDescent="0.25">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c r="AA603" s="51"/>
      <c r="AB603" s="51"/>
    </row>
    <row r="604" spans="2:28" x14ac:dyDescent="0.25">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c r="AA604" s="51"/>
      <c r="AB604" s="51"/>
    </row>
    <row r="605" spans="2:28" x14ac:dyDescent="0.25">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c r="AB605" s="51"/>
    </row>
    <row r="606" spans="2:28" x14ac:dyDescent="0.25">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c r="AA606" s="51"/>
      <c r="AB606" s="51"/>
    </row>
    <row r="607" spans="2:28" x14ac:dyDescent="0.25">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c r="AA607" s="51"/>
      <c r="AB607" s="51"/>
    </row>
    <row r="608" spans="2:28" x14ac:dyDescent="0.25">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c r="AA608" s="51"/>
      <c r="AB608" s="51"/>
    </row>
    <row r="609" spans="2:28" x14ac:dyDescent="0.25">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c r="AA609" s="51"/>
      <c r="AB609" s="51"/>
    </row>
    <row r="610" spans="2:28" x14ac:dyDescent="0.25">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c r="AA610" s="51"/>
      <c r="AB610" s="51"/>
    </row>
    <row r="611" spans="2:28" x14ac:dyDescent="0.25">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c r="AA611" s="51"/>
      <c r="AB611" s="51"/>
    </row>
    <row r="612" spans="2:28" x14ac:dyDescent="0.25">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c r="AA612" s="51"/>
      <c r="AB612" s="51"/>
    </row>
    <row r="613" spans="2:28" x14ac:dyDescent="0.25">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c r="AA613" s="51"/>
      <c r="AB613" s="51"/>
    </row>
    <row r="614" spans="2:28" x14ac:dyDescent="0.25">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c r="AA614" s="51"/>
      <c r="AB614" s="51"/>
    </row>
    <row r="615" spans="2:28" x14ac:dyDescent="0.25">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c r="AA615" s="51"/>
      <c r="AB615" s="51"/>
    </row>
    <row r="616" spans="2:28" x14ac:dyDescent="0.25">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c r="AA616" s="51"/>
      <c r="AB616" s="51"/>
    </row>
    <row r="617" spans="2:28" x14ac:dyDescent="0.25">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c r="AA617" s="51"/>
      <c r="AB617" s="51"/>
    </row>
    <row r="618" spans="2:28" x14ac:dyDescent="0.25">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c r="AA618" s="51"/>
      <c r="AB618" s="51"/>
    </row>
    <row r="619" spans="2:28" x14ac:dyDescent="0.25">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c r="AA619" s="51"/>
      <c r="AB619" s="51"/>
    </row>
    <row r="620" spans="2:28" x14ac:dyDescent="0.25">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c r="AA620" s="51"/>
      <c r="AB620" s="51"/>
    </row>
    <row r="621" spans="2:28" x14ac:dyDescent="0.25">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c r="AA621" s="51"/>
      <c r="AB621" s="51"/>
    </row>
    <row r="622" spans="2:28" x14ac:dyDescent="0.25">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c r="AA622" s="51"/>
      <c r="AB622" s="51"/>
    </row>
    <row r="623" spans="2:28" x14ac:dyDescent="0.25">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c r="AA623" s="51"/>
      <c r="AB623" s="51"/>
    </row>
    <row r="624" spans="2:28" x14ac:dyDescent="0.25">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c r="AA624" s="51"/>
      <c r="AB624" s="51"/>
    </row>
    <row r="625" spans="2:28" x14ac:dyDescent="0.25">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c r="AA625" s="51"/>
      <c r="AB625" s="51"/>
    </row>
    <row r="626" spans="2:28" x14ac:dyDescent="0.25">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c r="AA626" s="51"/>
      <c r="AB626" s="51"/>
    </row>
    <row r="627" spans="2:28" x14ac:dyDescent="0.25">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c r="AA627" s="51"/>
      <c r="AB627" s="51"/>
    </row>
    <row r="628" spans="2:28" x14ac:dyDescent="0.25">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c r="AA628" s="51"/>
      <c r="AB628" s="51"/>
    </row>
    <row r="629" spans="2:28" x14ac:dyDescent="0.25">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c r="AA629" s="51"/>
      <c r="AB629" s="51"/>
    </row>
    <row r="630" spans="2:28" x14ac:dyDescent="0.25">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c r="AA630" s="51"/>
      <c r="AB630" s="51"/>
    </row>
    <row r="631" spans="2:28" x14ac:dyDescent="0.25">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c r="AA631" s="51"/>
      <c r="AB631" s="51"/>
    </row>
    <row r="632" spans="2:28" x14ac:dyDescent="0.25">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c r="AA632" s="51"/>
      <c r="AB632" s="51"/>
    </row>
    <row r="633" spans="2:28" x14ac:dyDescent="0.25">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c r="AA633" s="51"/>
      <c r="AB633" s="51"/>
    </row>
    <row r="634" spans="2:28" x14ac:dyDescent="0.25">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c r="AA634" s="51"/>
      <c r="AB634" s="51"/>
    </row>
    <row r="635" spans="2:28" x14ac:dyDescent="0.25">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c r="AA635" s="51"/>
      <c r="AB635" s="51"/>
    </row>
    <row r="636" spans="2:28" x14ac:dyDescent="0.25">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c r="AA636" s="51"/>
      <c r="AB636" s="51"/>
    </row>
    <row r="637" spans="2:28" x14ac:dyDescent="0.25">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c r="AA637" s="51"/>
      <c r="AB637" s="51"/>
    </row>
    <row r="638" spans="2:28" x14ac:dyDescent="0.25">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c r="AA638" s="51"/>
      <c r="AB638" s="51"/>
    </row>
    <row r="639" spans="2:28" x14ac:dyDescent="0.25">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c r="AA639" s="51"/>
      <c r="AB639" s="51"/>
    </row>
    <row r="640" spans="2:28" x14ac:dyDescent="0.25">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c r="AA640" s="51"/>
      <c r="AB640" s="51"/>
    </row>
    <row r="641" spans="2:28" x14ac:dyDescent="0.25">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c r="AA641" s="51"/>
      <c r="AB641" s="51"/>
    </row>
    <row r="642" spans="2:28" x14ac:dyDescent="0.25">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c r="AA642" s="51"/>
      <c r="AB642" s="51"/>
    </row>
    <row r="643" spans="2:28" x14ac:dyDescent="0.25">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c r="AA643" s="51"/>
      <c r="AB643" s="51"/>
    </row>
    <row r="644" spans="2:28" x14ac:dyDescent="0.25">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c r="AA644" s="51"/>
      <c r="AB644" s="51"/>
    </row>
    <row r="645" spans="2:28" x14ac:dyDescent="0.25">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c r="AA645" s="51"/>
      <c r="AB645" s="51"/>
    </row>
    <row r="646" spans="2:28" x14ac:dyDescent="0.25">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c r="AA646" s="51"/>
      <c r="AB646" s="51"/>
    </row>
    <row r="647" spans="2:28" x14ac:dyDescent="0.25">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c r="AA647" s="51"/>
      <c r="AB647" s="51"/>
    </row>
    <row r="648" spans="2:28" x14ac:dyDescent="0.25">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c r="AA648" s="51"/>
      <c r="AB648" s="51"/>
    </row>
    <row r="649" spans="2:28" x14ac:dyDescent="0.25">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c r="AA649" s="51"/>
      <c r="AB649" s="51"/>
    </row>
    <row r="650" spans="2:28" x14ac:dyDescent="0.25">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c r="AA650" s="51"/>
      <c r="AB650" s="51"/>
    </row>
    <row r="651" spans="2:28" x14ac:dyDescent="0.25">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c r="AA651" s="51"/>
      <c r="AB651" s="51"/>
    </row>
    <row r="652" spans="2:28" x14ac:dyDescent="0.25">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c r="AA652" s="51"/>
      <c r="AB652" s="51"/>
    </row>
    <row r="653" spans="2:28" x14ac:dyDescent="0.25">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c r="AA653" s="51"/>
      <c r="AB653" s="51"/>
    </row>
    <row r="654" spans="2:28" x14ac:dyDescent="0.25">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c r="AA654" s="51"/>
      <c r="AB654" s="51"/>
    </row>
    <row r="655" spans="2:28" x14ac:dyDescent="0.25">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c r="AA655" s="51"/>
      <c r="AB655" s="51"/>
    </row>
    <row r="656" spans="2:28" x14ac:dyDescent="0.25">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c r="AA656" s="51"/>
      <c r="AB656" s="51"/>
    </row>
    <row r="657" spans="2:28" x14ac:dyDescent="0.25">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c r="AA657" s="51"/>
      <c r="AB657" s="51"/>
    </row>
    <row r="658" spans="2:28" x14ac:dyDescent="0.25">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c r="AA658" s="51"/>
      <c r="AB658" s="51"/>
    </row>
    <row r="659" spans="2:28" x14ac:dyDescent="0.25">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c r="AA659" s="51"/>
      <c r="AB659" s="51"/>
    </row>
    <row r="660" spans="2:28" x14ac:dyDescent="0.25">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c r="AA660" s="51"/>
      <c r="AB660" s="51"/>
    </row>
    <row r="661" spans="2:28" x14ac:dyDescent="0.25">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c r="AA661" s="51"/>
      <c r="AB661" s="51"/>
    </row>
    <row r="662" spans="2:28" x14ac:dyDescent="0.25">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c r="AA662" s="51"/>
      <c r="AB662" s="51"/>
    </row>
    <row r="663" spans="2:28" x14ac:dyDescent="0.25">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c r="AA663" s="51"/>
      <c r="AB663" s="51"/>
    </row>
    <row r="664" spans="2:28" x14ac:dyDescent="0.25">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c r="AA664" s="51"/>
      <c r="AB664" s="51"/>
    </row>
    <row r="665" spans="2:28" x14ac:dyDescent="0.25">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c r="AA665" s="51"/>
      <c r="AB665" s="51"/>
    </row>
    <row r="666" spans="2:28" x14ac:dyDescent="0.25">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c r="AA666" s="51"/>
      <c r="AB666" s="51"/>
    </row>
    <row r="667" spans="2:28" x14ac:dyDescent="0.25">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c r="AA667" s="51"/>
      <c r="AB667" s="51"/>
    </row>
    <row r="668" spans="2:28" x14ac:dyDescent="0.25">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c r="AA668" s="51"/>
      <c r="AB668" s="51"/>
    </row>
    <row r="669" spans="2:28" x14ac:dyDescent="0.25">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c r="AA669" s="51"/>
      <c r="AB669" s="51"/>
    </row>
    <row r="670" spans="2:28" x14ac:dyDescent="0.25">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c r="AA670" s="51"/>
      <c r="AB670" s="51"/>
    </row>
    <row r="671" spans="2:28" x14ac:dyDescent="0.25">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c r="AA671" s="51"/>
      <c r="AB671" s="51"/>
    </row>
    <row r="672" spans="2:28" x14ac:dyDescent="0.25">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c r="AA672" s="51"/>
      <c r="AB672" s="51"/>
    </row>
    <row r="673" spans="2:28" x14ac:dyDescent="0.25">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c r="AA673" s="51"/>
      <c r="AB673" s="51"/>
    </row>
    <row r="674" spans="2:28" x14ac:dyDescent="0.25">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c r="AA674" s="51"/>
      <c r="AB674" s="51"/>
    </row>
    <row r="675" spans="2:28" x14ac:dyDescent="0.25">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c r="AA675" s="51"/>
      <c r="AB675" s="51"/>
    </row>
    <row r="676" spans="2:28" x14ac:dyDescent="0.25">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c r="AA676" s="51"/>
      <c r="AB676" s="51"/>
    </row>
    <row r="677" spans="2:28" x14ac:dyDescent="0.25">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c r="AA677" s="51"/>
      <c r="AB677" s="51"/>
    </row>
    <row r="678" spans="2:28" x14ac:dyDescent="0.25">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c r="AA678" s="51"/>
      <c r="AB678" s="51"/>
    </row>
    <row r="679" spans="2:28" x14ac:dyDescent="0.25">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c r="AA679" s="51"/>
      <c r="AB679" s="51"/>
    </row>
    <row r="680" spans="2:28" x14ac:dyDescent="0.25">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c r="AA680" s="51"/>
      <c r="AB680" s="51"/>
    </row>
    <row r="681" spans="2:28" x14ac:dyDescent="0.25">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c r="AA681" s="51"/>
      <c r="AB681" s="51"/>
    </row>
    <row r="682" spans="2:28" x14ac:dyDescent="0.25">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c r="AA682" s="51"/>
      <c r="AB682" s="51"/>
    </row>
    <row r="683" spans="2:28" x14ac:dyDescent="0.25">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c r="AA683" s="51"/>
      <c r="AB683" s="51"/>
    </row>
    <row r="684" spans="2:28" x14ac:dyDescent="0.25">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c r="AA684" s="51"/>
      <c r="AB684" s="51"/>
    </row>
    <row r="685" spans="2:28" x14ac:dyDescent="0.25">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c r="AA685" s="51"/>
      <c r="AB685" s="51"/>
    </row>
    <row r="686" spans="2:28" x14ac:dyDescent="0.25">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c r="AA686" s="51"/>
      <c r="AB686" s="51"/>
    </row>
    <row r="687" spans="2:28" x14ac:dyDescent="0.25">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c r="AA687" s="51"/>
      <c r="AB687" s="51"/>
    </row>
    <row r="688" spans="2:28" x14ac:dyDescent="0.25">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c r="AA688" s="51"/>
      <c r="AB688" s="51"/>
    </row>
    <row r="689" spans="2:28" x14ac:dyDescent="0.25">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c r="AA689" s="51"/>
      <c r="AB689" s="51"/>
    </row>
    <row r="690" spans="2:28" x14ac:dyDescent="0.25">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c r="AA690" s="51"/>
      <c r="AB690" s="51"/>
    </row>
    <row r="691" spans="2:28" x14ac:dyDescent="0.25">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c r="AA691" s="51"/>
      <c r="AB691" s="51"/>
    </row>
    <row r="692" spans="2:28" x14ac:dyDescent="0.25">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c r="AA692" s="51"/>
      <c r="AB692" s="51"/>
    </row>
    <row r="693" spans="2:28" x14ac:dyDescent="0.25">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c r="AA693" s="51"/>
      <c r="AB693" s="51"/>
    </row>
    <row r="694" spans="2:28" x14ac:dyDescent="0.25">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c r="AA694" s="51"/>
      <c r="AB694" s="51"/>
    </row>
    <row r="695" spans="2:28" x14ac:dyDescent="0.25">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c r="AA695" s="51"/>
      <c r="AB695" s="51"/>
    </row>
    <row r="696" spans="2:28" x14ac:dyDescent="0.25">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c r="AA696" s="51"/>
      <c r="AB696" s="51"/>
    </row>
    <row r="697" spans="2:28" x14ac:dyDescent="0.25">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c r="AA697" s="51"/>
      <c r="AB697" s="51"/>
    </row>
    <row r="698" spans="2:28" x14ac:dyDescent="0.25">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c r="AA698" s="51"/>
      <c r="AB698" s="51"/>
    </row>
    <row r="699" spans="2:28" x14ac:dyDescent="0.25">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c r="AA699" s="51"/>
      <c r="AB699" s="51"/>
    </row>
    <row r="700" spans="2:28" x14ac:dyDescent="0.25">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c r="AA700" s="51"/>
      <c r="AB700" s="51"/>
    </row>
    <row r="701" spans="2:28" x14ac:dyDescent="0.25">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c r="AA701" s="51"/>
      <c r="AB701" s="51"/>
    </row>
    <row r="702" spans="2:28" x14ac:dyDescent="0.25">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c r="AA702" s="51"/>
      <c r="AB702" s="51"/>
    </row>
    <row r="703" spans="2:28" x14ac:dyDescent="0.25">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c r="AA703" s="51"/>
      <c r="AB703" s="51"/>
    </row>
    <row r="704" spans="2:28" x14ac:dyDescent="0.25">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c r="AA704" s="51"/>
      <c r="AB704" s="51"/>
    </row>
    <row r="705" spans="2:28" x14ac:dyDescent="0.25">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c r="AA705" s="51"/>
      <c r="AB705" s="51"/>
    </row>
    <row r="706" spans="2:28" x14ac:dyDescent="0.25">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c r="AA706" s="51"/>
      <c r="AB706" s="51"/>
    </row>
    <row r="707" spans="2:28" x14ac:dyDescent="0.25">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c r="AA707" s="51"/>
      <c r="AB707" s="51"/>
    </row>
    <row r="708" spans="2:28" x14ac:dyDescent="0.25">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c r="AA708" s="51"/>
      <c r="AB708" s="51"/>
    </row>
    <row r="709" spans="2:28" x14ac:dyDescent="0.25">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c r="AA709" s="51"/>
      <c r="AB709" s="51"/>
    </row>
    <row r="710" spans="2:28" x14ac:dyDescent="0.25">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c r="AA710" s="51"/>
      <c r="AB710" s="51"/>
    </row>
    <row r="711" spans="2:28" x14ac:dyDescent="0.25">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c r="AA711" s="51"/>
      <c r="AB711" s="51"/>
    </row>
    <row r="712" spans="2:28" x14ac:dyDescent="0.25">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c r="AA712" s="51"/>
      <c r="AB712" s="51"/>
    </row>
    <row r="713" spans="2:28" x14ac:dyDescent="0.25">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c r="AA713" s="51"/>
      <c r="AB713" s="51"/>
    </row>
    <row r="714" spans="2:28" x14ac:dyDescent="0.25">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c r="AA714" s="51"/>
      <c r="AB714" s="51"/>
    </row>
    <row r="715" spans="2:28" x14ac:dyDescent="0.25">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c r="AA715" s="51"/>
      <c r="AB715" s="51"/>
    </row>
    <row r="716" spans="2:28" x14ac:dyDescent="0.25">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c r="AA716" s="51"/>
      <c r="AB716" s="51"/>
    </row>
    <row r="717" spans="2:28" x14ac:dyDescent="0.25">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c r="AA717" s="51"/>
      <c r="AB717" s="51"/>
    </row>
    <row r="718" spans="2:28" x14ac:dyDescent="0.25">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c r="AA718" s="51"/>
      <c r="AB718" s="51"/>
    </row>
    <row r="719" spans="2:28" x14ac:dyDescent="0.25">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c r="AA719" s="51"/>
      <c r="AB719" s="51"/>
    </row>
    <row r="720" spans="2:28" x14ac:dyDescent="0.25">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c r="AA720" s="51"/>
      <c r="AB720" s="51"/>
    </row>
    <row r="721" spans="2:28" x14ac:dyDescent="0.25">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c r="AA721" s="51"/>
      <c r="AB721" s="51"/>
    </row>
    <row r="722" spans="2:28" x14ac:dyDescent="0.25">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c r="AA722" s="51"/>
      <c r="AB722" s="51"/>
    </row>
    <row r="723" spans="2:28" x14ac:dyDescent="0.25">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c r="AA723" s="51"/>
      <c r="AB723" s="51"/>
    </row>
    <row r="724" spans="2:28" x14ac:dyDescent="0.25">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c r="AA724" s="51"/>
      <c r="AB724" s="51"/>
    </row>
    <row r="725" spans="2:28" x14ac:dyDescent="0.25">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c r="AA725" s="51"/>
      <c r="AB725" s="51"/>
    </row>
    <row r="726" spans="2:28" x14ac:dyDescent="0.25">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c r="AA726" s="51"/>
      <c r="AB726" s="51"/>
    </row>
    <row r="727" spans="2:28" x14ac:dyDescent="0.25">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c r="AA727" s="51"/>
      <c r="AB727" s="51"/>
    </row>
    <row r="728" spans="2:28" x14ac:dyDescent="0.25">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c r="AA728" s="51"/>
      <c r="AB728" s="51"/>
    </row>
    <row r="729" spans="2:28" x14ac:dyDescent="0.25">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c r="AA729" s="51"/>
      <c r="AB729" s="51"/>
    </row>
    <row r="730" spans="2:28" x14ac:dyDescent="0.25">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c r="AA730" s="51"/>
      <c r="AB730" s="51"/>
    </row>
    <row r="731" spans="2:28" x14ac:dyDescent="0.25">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c r="AA731" s="51"/>
      <c r="AB731" s="51"/>
    </row>
    <row r="732" spans="2:28" x14ac:dyDescent="0.25">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c r="AA732" s="51"/>
      <c r="AB732" s="51"/>
    </row>
    <row r="733" spans="2:28" x14ac:dyDescent="0.25">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c r="AA733" s="51"/>
      <c r="AB733" s="51"/>
    </row>
    <row r="734" spans="2:28" x14ac:dyDescent="0.25">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c r="AA734" s="51"/>
      <c r="AB734" s="51"/>
    </row>
    <row r="735" spans="2:28" x14ac:dyDescent="0.25">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c r="AA735" s="51"/>
      <c r="AB735" s="51"/>
    </row>
    <row r="736" spans="2:28" x14ac:dyDescent="0.25">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c r="AA736" s="51"/>
      <c r="AB736" s="51"/>
    </row>
    <row r="737" spans="2:28" x14ac:dyDescent="0.25">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c r="AA737" s="51"/>
      <c r="AB737" s="51"/>
    </row>
    <row r="738" spans="2:28" x14ac:dyDescent="0.25">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c r="AA738" s="51"/>
      <c r="AB738" s="51"/>
    </row>
    <row r="739" spans="2:28" x14ac:dyDescent="0.25">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c r="AA739" s="51"/>
      <c r="AB739" s="51"/>
    </row>
    <row r="740" spans="2:28" x14ac:dyDescent="0.25">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c r="AA740" s="51"/>
      <c r="AB740" s="51"/>
    </row>
    <row r="741" spans="2:28" x14ac:dyDescent="0.25">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c r="AA741" s="51"/>
      <c r="AB741" s="51"/>
    </row>
    <row r="742" spans="2:28" x14ac:dyDescent="0.25">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c r="AA742" s="51"/>
      <c r="AB742" s="51"/>
    </row>
    <row r="743" spans="2:28" x14ac:dyDescent="0.25">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c r="AA743" s="51"/>
      <c r="AB743" s="51"/>
    </row>
    <row r="744" spans="2:28" x14ac:dyDescent="0.25">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c r="AA744" s="51"/>
      <c r="AB744" s="51"/>
    </row>
    <row r="745" spans="2:28" x14ac:dyDescent="0.25">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c r="AA745" s="51"/>
      <c r="AB745" s="51"/>
    </row>
    <row r="746" spans="2:28" x14ac:dyDescent="0.25">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c r="AA746" s="51"/>
      <c r="AB746" s="51"/>
    </row>
    <row r="747" spans="2:28" x14ac:dyDescent="0.25">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c r="AA747" s="51"/>
      <c r="AB747" s="51"/>
    </row>
    <row r="748" spans="2:28" x14ac:dyDescent="0.25">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c r="AA748" s="51"/>
      <c r="AB748" s="51"/>
    </row>
    <row r="749" spans="2:28" x14ac:dyDescent="0.25">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c r="AA749" s="51"/>
      <c r="AB749" s="51"/>
    </row>
    <row r="750" spans="2:28" x14ac:dyDescent="0.25">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c r="AA750" s="51"/>
      <c r="AB750" s="51"/>
    </row>
    <row r="751" spans="2:28" x14ac:dyDescent="0.25">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c r="AA751" s="51"/>
      <c r="AB751" s="51"/>
    </row>
    <row r="752" spans="2:28" x14ac:dyDescent="0.25">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c r="AA752" s="51"/>
      <c r="AB752" s="51"/>
    </row>
    <row r="753" spans="2:28" x14ac:dyDescent="0.25">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c r="AA753" s="51"/>
      <c r="AB753" s="51"/>
    </row>
    <row r="754" spans="2:28" x14ac:dyDescent="0.25">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c r="AA754" s="51"/>
      <c r="AB754" s="51"/>
    </row>
    <row r="755" spans="2:28" x14ac:dyDescent="0.25">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c r="AA755" s="51"/>
      <c r="AB755" s="51"/>
    </row>
    <row r="756" spans="2:28" x14ac:dyDescent="0.25">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c r="AA756" s="51"/>
      <c r="AB756" s="51"/>
    </row>
    <row r="757" spans="2:28" x14ac:dyDescent="0.25">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c r="AA757" s="51"/>
      <c r="AB757" s="51"/>
    </row>
    <row r="758" spans="2:28" x14ac:dyDescent="0.25">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c r="AA758" s="51"/>
      <c r="AB758" s="51"/>
    </row>
    <row r="759" spans="2:28" x14ac:dyDescent="0.25">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c r="AA759" s="51"/>
      <c r="AB759" s="51"/>
    </row>
    <row r="760" spans="2:28" x14ac:dyDescent="0.25">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c r="AA760" s="51"/>
      <c r="AB760" s="51"/>
    </row>
    <row r="761" spans="2:28" x14ac:dyDescent="0.25">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c r="AA761" s="51"/>
      <c r="AB761" s="51"/>
    </row>
    <row r="762" spans="2:28" x14ac:dyDescent="0.25">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c r="AA762" s="51"/>
      <c r="AB762" s="51"/>
    </row>
    <row r="763" spans="2:28" x14ac:dyDescent="0.25">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c r="AA763" s="51"/>
      <c r="AB763" s="51"/>
    </row>
    <row r="764" spans="2:28" x14ac:dyDescent="0.25">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c r="AA764" s="51"/>
      <c r="AB764" s="51"/>
    </row>
    <row r="765" spans="2:28" x14ac:dyDescent="0.25">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c r="AA765" s="51"/>
      <c r="AB765" s="51"/>
    </row>
    <row r="766" spans="2:28" x14ac:dyDescent="0.25">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c r="AA766" s="51"/>
      <c r="AB766" s="51"/>
    </row>
    <row r="767" spans="2:28" x14ac:dyDescent="0.25">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c r="AA767" s="51"/>
      <c r="AB767" s="51"/>
    </row>
    <row r="768" spans="2:28" x14ac:dyDescent="0.25">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c r="AA768" s="51"/>
      <c r="AB768" s="51"/>
    </row>
    <row r="769" spans="2:28" x14ac:dyDescent="0.25">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c r="AA769" s="51"/>
      <c r="AB769" s="51"/>
    </row>
    <row r="770" spans="2:28" x14ac:dyDescent="0.25">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c r="AA770" s="51"/>
      <c r="AB770" s="51"/>
    </row>
    <row r="771" spans="2:28" x14ac:dyDescent="0.25">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c r="AA771" s="51"/>
      <c r="AB771" s="51"/>
    </row>
    <row r="772" spans="2:28" x14ac:dyDescent="0.25">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c r="AA772" s="51"/>
      <c r="AB772" s="51"/>
    </row>
    <row r="773" spans="2:28" x14ac:dyDescent="0.25">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c r="AA773" s="51"/>
      <c r="AB773" s="51"/>
    </row>
    <row r="774" spans="2:28" x14ac:dyDescent="0.25">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c r="AA774" s="51"/>
      <c r="AB774" s="51"/>
    </row>
    <row r="775" spans="2:28" x14ac:dyDescent="0.25">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c r="AA775" s="51"/>
      <c r="AB775" s="51"/>
    </row>
    <row r="776" spans="2:28" x14ac:dyDescent="0.25">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c r="AA776" s="51"/>
      <c r="AB776" s="51"/>
    </row>
    <row r="777" spans="2:28" x14ac:dyDescent="0.25">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c r="AA777" s="51"/>
      <c r="AB777" s="51"/>
    </row>
    <row r="778" spans="2:28" x14ac:dyDescent="0.25">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c r="AA778" s="51"/>
      <c r="AB778" s="51"/>
    </row>
    <row r="779" spans="2:28" x14ac:dyDescent="0.25">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c r="AA779" s="51"/>
      <c r="AB779" s="51"/>
    </row>
    <row r="780" spans="2:28" x14ac:dyDescent="0.25">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c r="AA780" s="51"/>
      <c r="AB780" s="51"/>
    </row>
    <row r="781" spans="2:28" x14ac:dyDescent="0.25">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c r="AA781" s="51"/>
      <c r="AB781" s="51"/>
    </row>
    <row r="782" spans="2:28" x14ac:dyDescent="0.25">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c r="AA782" s="51"/>
      <c r="AB782" s="51"/>
    </row>
    <row r="783" spans="2:28" x14ac:dyDescent="0.25">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c r="AA783" s="51"/>
      <c r="AB783" s="51"/>
    </row>
    <row r="784" spans="2:28" x14ac:dyDescent="0.25">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c r="AA784" s="51"/>
      <c r="AB784" s="51"/>
    </row>
    <row r="785" spans="2:28" x14ac:dyDescent="0.25">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c r="AA785" s="51"/>
      <c r="AB785" s="51"/>
    </row>
    <row r="786" spans="2:28" x14ac:dyDescent="0.25">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c r="AA786" s="51"/>
      <c r="AB786" s="51"/>
    </row>
    <row r="787" spans="2:28" x14ac:dyDescent="0.25">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c r="AA787" s="51"/>
      <c r="AB787" s="51"/>
    </row>
    <row r="788" spans="2:28" x14ac:dyDescent="0.25">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c r="AA788" s="51"/>
      <c r="AB788" s="51"/>
    </row>
    <row r="789" spans="2:28" x14ac:dyDescent="0.25">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c r="AA789" s="51"/>
      <c r="AB789" s="51"/>
    </row>
    <row r="790" spans="2:28" x14ac:dyDescent="0.25">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c r="AA790" s="51"/>
      <c r="AB790" s="51"/>
    </row>
    <row r="791" spans="2:28" x14ac:dyDescent="0.25">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c r="AA791" s="51"/>
      <c r="AB791" s="51"/>
    </row>
    <row r="792" spans="2:28" x14ac:dyDescent="0.25">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c r="AA792" s="51"/>
      <c r="AB792" s="51"/>
    </row>
    <row r="793" spans="2:28" x14ac:dyDescent="0.25">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c r="AA793" s="51"/>
      <c r="AB793" s="51"/>
    </row>
    <row r="794" spans="2:28" x14ac:dyDescent="0.25">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c r="AA794" s="51"/>
      <c r="AB794" s="51"/>
    </row>
    <row r="795" spans="2:28" x14ac:dyDescent="0.25">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c r="AA795" s="51"/>
      <c r="AB795" s="51"/>
    </row>
    <row r="796" spans="2:28" x14ac:dyDescent="0.25">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c r="AA796" s="51"/>
      <c r="AB796" s="51"/>
    </row>
    <row r="797" spans="2:28" x14ac:dyDescent="0.25">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c r="AA797" s="51"/>
      <c r="AB797" s="51"/>
    </row>
    <row r="798" spans="2:28" x14ac:dyDescent="0.25">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c r="AA798" s="51"/>
      <c r="AB798" s="51"/>
    </row>
    <row r="799" spans="2:28" x14ac:dyDescent="0.25">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c r="AA799" s="51"/>
      <c r="AB799" s="51"/>
    </row>
    <row r="800" spans="2:28" x14ac:dyDescent="0.25">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c r="AA800" s="51"/>
      <c r="AB800" s="51"/>
    </row>
    <row r="801" spans="2:28" x14ac:dyDescent="0.25">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c r="AA801" s="51"/>
      <c r="AB801" s="51"/>
    </row>
    <row r="802" spans="2:28" x14ac:dyDescent="0.25">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c r="AA802" s="51"/>
      <c r="AB802" s="51"/>
    </row>
    <row r="803" spans="2:28" x14ac:dyDescent="0.25">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c r="AA803" s="51"/>
      <c r="AB803" s="51"/>
    </row>
    <row r="804" spans="2:28" x14ac:dyDescent="0.25">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c r="AA804" s="51"/>
      <c r="AB804" s="51"/>
    </row>
    <row r="805" spans="2:28" x14ac:dyDescent="0.25">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c r="AA805" s="51"/>
      <c r="AB805" s="51"/>
    </row>
    <row r="806" spans="2:28" x14ac:dyDescent="0.25">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c r="AA806" s="51"/>
      <c r="AB806" s="51"/>
    </row>
    <row r="807" spans="2:28" x14ac:dyDescent="0.25">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c r="AA807" s="51"/>
      <c r="AB807" s="51"/>
    </row>
    <row r="808" spans="2:28" x14ac:dyDescent="0.25">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c r="AA808" s="51"/>
      <c r="AB808" s="51"/>
    </row>
    <row r="809" spans="2:28" x14ac:dyDescent="0.25">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c r="AA809" s="51"/>
      <c r="AB809" s="51"/>
    </row>
    <row r="810" spans="2:28" x14ac:dyDescent="0.25">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c r="AA810" s="51"/>
      <c r="AB810" s="51"/>
    </row>
    <row r="811" spans="2:28" x14ac:dyDescent="0.25">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c r="AA811" s="51"/>
      <c r="AB811" s="51"/>
    </row>
    <row r="812" spans="2:28" x14ac:dyDescent="0.25">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c r="AA812" s="51"/>
      <c r="AB812" s="51"/>
    </row>
    <row r="813" spans="2:28" x14ac:dyDescent="0.25">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c r="AA813" s="51"/>
      <c r="AB813" s="51"/>
    </row>
    <row r="814" spans="2:28" x14ac:dyDescent="0.25">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c r="AA814" s="51"/>
      <c r="AB814" s="51"/>
    </row>
    <row r="815" spans="2:28" x14ac:dyDescent="0.25">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c r="AA815" s="51"/>
      <c r="AB815" s="51"/>
    </row>
    <row r="816" spans="2:28" x14ac:dyDescent="0.25">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c r="AA816" s="51"/>
      <c r="AB816" s="51"/>
    </row>
    <row r="817" spans="2:28" x14ac:dyDescent="0.25">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c r="AA817" s="51"/>
      <c r="AB817" s="51"/>
    </row>
    <row r="818" spans="2:28" x14ac:dyDescent="0.25">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c r="AA818" s="51"/>
      <c r="AB818" s="51"/>
    </row>
    <row r="819" spans="2:28" x14ac:dyDescent="0.25">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c r="AA819" s="51"/>
      <c r="AB819" s="51"/>
    </row>
    <row r="820" spans="2:28" x14ac:dyDescent="0.25">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c r="AA820" s="51"/>
      <c r="AB820" s="51"/>
    </row>
    <row r="821" spans="2:28" x14ac:dyDescent="0.25">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c r="AA821" s="51"/>
      <c r="AB821" s="51"/>
    </row>
    <row r="822" spans="2:28" x14ac:dyDescent="0.25">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c r="AA822" s="51"/>
      <c r="AB822" s="51"/>
    </row>
    <row r="823" spans="2:28" x14ac:dyDescent="0.25">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c r="AA823" s="51"/>
      <c r="AB823" s="51"/>
    </row>
    <row r="824" spans="2:28" x14ac:dyDescent="0.25">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c r="AA824" s="51"/>
      <c r="AB824" s="51"/>
    </row>
    <row r="825" spans="2:28" x14ac:dyDescent="0.25">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c r="AA825" s="51"/>
      <c r="AB825" s="51"/>
    </row>
    <row r="826" spans="2:28" x14ac:dyDescent="0.25">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c r="AA826" s="51"/>
      <c r="AB826" s="51"/>
    </row>
    <row r="827" spans="2:28" x14ac:dyDescent="0.25">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c r="AA827" s="51"/>
      <c r="AB827" s="51"/>
    </row>
    <row r="828" spans="2:28" x14ac:dyDescent="0.25">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c r="AA828" s="51"/>
      <c r="AB828" s="51"/>
    </row>
    <row r="829" spans="2:28" x14ac:dyDescent="0.25">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c r="AA829" s="51"/>
      <c r="AB829" s="51"/>
    </row>
    <row r="830" spans="2:28" x14ac:dyDescent="0.25">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c r="AA830" s="51"/>
      <c r="AB830" s="51"/>
    </row>
    <row r="831" spans="2:28" x14ac:dyDescent="0.25">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c r="AA831" s="51"/>
      <c r="AB831" s="51"/>
    </row>
    <row r="832" spans="2:28" x14ac:dyDescent="0.25">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c r="AA832" s="51"/>
      <c r="AB832" s="51"/>
    </row>
    <row r="833" spans="2:28" x14ac:dyDescent="0.25">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c r="AA833" s="51"/>
      <c r="AB833" s="51"/>
    </row>
    <row r="834" spans="2:28" x14ac:dyDescent="0.25">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c r="AA834" s="51"/>
      <c r="AB834" s="51"/>
    </row>
    <row r="835" spans="2:28" x14ac:dyDescent="0.25">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c r="AA835" s="51"/>
      <c r="AB835" s="51"/>
    </row>
    <row r="836" spans="2:28" x14ac:dyDescent="0.25">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c r="AA836" s="51"/>
      <c r="AB836" s="51"/>
    </row>
    <row r="837" spans="2:28" x14ac:dyDescent="0.25">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c r="AA837" s="51"/>
      <c r="AB837" s="51"/>
    </row>
    <row r="838" spans="2:28" x14ac:dyDescent="0.25">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c r="AA838" s="51"/>
      <c r="AB838" s="51"/>
    </row>
    <row r="839" spans="2:28" x14ac:dyDescent="0.25">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c r="AA839" s="51"/>
      <c r="AB839" s="51"/>
    </row>
    <row r="840" spans="2:28" x14ac:dyDescent="0.25">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c r="AA840" s="51"/>
      <c r="AB840" s="51"/>
    </row>
    <row r="841" spans="2:28" x14ac:dyDescent="0.25">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c r="AA841" s="51"/>
      <c r="AB841" s="51"/>
    </row>
    <row r="842" spans="2:28" x14ac:dyDescent="0.25">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c r="AA842" s="51"/>
      <c r="AB842" s="51"/>
    </row>
    <row r="843" spans="2:28" x14ac:dyDescent="0.25">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c r="AA843" s="51"/>
      <c r="AB843" s="51"/>
    </row>
    <row r="844" spans="2:28" x14ac:dyDescent="0.25">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c r="AA844" s="51"/>
      <c r="AB844" s="51"/>
    </row>
    <row r="845" spans="2:28" x14ac:dyDescent="0.25">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c r="AA845" s="51"/>
      <c r="AB845" s="51"/>
    </row>
    <row r="846" spans="2:28" x14ac:dyDescent="0.25">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c r="AA846" s="51"/>
      <c r="AB846" s="51"/>
    </row>
    <row r="847" spans="2:28" x14ac:dyDescent="0.25">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c r="AA847" s="51"/>
      <c r="AB847" s="51"/>
    </row>
    <row r="848" spans="2:28" x14ac:dyDescent="0.25">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c r="AA848" s="51"/>
      <c r="AB848" s="51"/>
    </row>
    <row r="849" spans="2:28" x14ac:dyDescent="0.25">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c r="AA849" s="51"/>
      <c r="AB849" s="51"/>
    </row>
    <row r="850" spans="2:28" x14ac:dyDescent="0.25">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c r="AA850" s="51"/>
      <c r="AB850" s="51"/>
    </row>
    <row r="851" spans="2:28" x14ac:dyDescent="0.25">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c r="AA851" s="51"/>
      <c r="AB851" s="51"/>
    </row>
    <row r="852" spans="2:28" x14ac:dyDescent="0.25">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c r="AA852" s="51"/>
      <c r="AB852" s="51"/>
    </row>
    <row r="853" spans="2:28" x14ac:dyDescent="0.25">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c r="AA853" s="51"/>
      <c r="AB853" s="51"/>
    </row>
    <row r="854" spans="2:28" x14ac:dyDescent="0.25">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c r="AA854" s="51"/>
      <c r="AB854" s="51"/>
    </row>
    <row r="855" spans="2:28" x14ac:dyDescent="0.25">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c r="AA855" s="51"/>
      <c r="AB855" s="51"/>
    </row>
    <row r="856" spans="2:28" x14ac:dyDescent="0.25">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c r="AA856" s="51"/>
      <c r="AB856" s="51"/>
    </row>
    <row r="857" spans="2:28" x14ac:dyDescent="0.25">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c r="AA857" s="51"/>
      <c r="AB857" s="51"/>
    </row>
    <row r="858" spans="2:28" x14ac:dyDescent="0.25">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c r="AA858" s="51"/>
      <c r="AB858" s="51"/>
    </row>
    <row r="859" spans="2:28" x14ac:dyDescent="0.25">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c r="AA859" s="51"/>
      <c r="AB859" s="51"/>
    </row>
    <row r="860" spans="2:28" x14ac:dyDescent="0.25">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c r="AA860" s="51"/>
      <c r="AB860" s="51"/>
    </row>
    <row r="861" spans="2:28" x14ac:dyDescent="0.25">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c r="AA861" s="51"/>
      <c r="AB861" s="51"/>
    </row>
    <row r="862" spans="2:28" x14ac:dyDescent="0.25">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c r="AA862" s="51"/>
      <c r="AB862" s="51"/>
    </row>
    <row r="863" spans="2:28" x14ac:dyDescent="0.25">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c r="AA863" s="51"/>
      <c r="AB863" s="51"/>
    </row>
    <row r="864" spans="2:28" x14ac:dyDescent="0.25">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c r="AA864" s="51"/>
      <c r="AB864" s="51"/>
    </row>
    <row r="865" spans="2:28" x14ac:dyDescent="0.25">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c r="AA865" s="51"/>
      <c r="AB865" s="51"/>
    </row>
    <row r="866" spans="2:28" x14ac:dyDescent="0.25">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c r="AA866" s="51"/>
      <c r="AB866" s="51"/>
    </row>
    <row r="867" spans="2:28" x14ac:dyDescent="0.25">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c r="AA867" s="51"/>
      <c r="AB867" s="51"/>
    </row>
    <row r="868" spans="2:28" x14ac:dyDescent="0.25">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c r="AA868" s="51"/>
      <c r="AB868" s="51"/>
    </row>
    <row r="869" spans="2:28" x14ac:dyDescent="0.25">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c r="AA869" s="51"/>
      <c r="AB869" s="51"/>
    </row>
    <row r="870" spans="2:28" x14ac:dyDescent="0.25">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c r="AA870" s="51"/>
      <c r="AB870" s="51"/>
    </row>
    <row r="871" spans="2:28" x14ac:dyDescent="0.25">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c r="AA871" s="51"/>
      <c r="AB871" s="51"/>
    </row>
    <row r="872" spans="2:28" x14ac:dyDescent="0.25">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c r="AA872" s="51"/>
      <c r="AB872" s="51"/>
    </row>
    <row r="873" spans="2:28" x14ac:dyDescent="0.25">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c r="AA873" s="51"/>
      <c r="AB873" s="51"/>
    </row>
    <row r="874" spans="2:28" x14ac:dyDescent="0.25">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c r="AA874" s="51"/>
      <c r="AB874" s="51"/>
    </row>
    <row r="875" spans="2:28" x14ac:dyDescent="0.25">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c r="AA875" s="51"/>
      <c r="AB875" s="51"/>
    </row>
    <row r="876" spans="2:28" x14ac:dyDescent="0.25">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c r="AA876" s="51"/>
      <c r="AB876" s="51"/>
    </row>
    <row r="877" spans="2:28" x14ac:dyDescent="0.25">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c r="AA877" s="51"/>
      <c r="AB877" s="51"/>
    </row>
    <row r="878" spans="2:28" x14ac:dyDescent="0.25">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c r="AA878" s="51"/>
      <c r="AB878" s="51"/>
    </row>
    <row r="879" spans="2:28" x14ac:dyDescent="0.25">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c r="AA879" s="51"/>
      <c r="AB879" s="51"/>
    </row>
    <row r="880" spans="2:28" x14ac:dyDescent="0.25">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c r="AA880" s="51"/>
      <c r="AB880" s="51"/>
    </row>
    <row r="881" spans="2:28" x14ac:dyDescent="0.25">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c r="AA881" s="51"/>
      <c r="AB881" s="51"/>
    </row>
    <row r="882" spans="2:28" x14ac:dyDescent="0.25">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c r="AA882" s="51"/>
      <c r="AB882" s="51"/>
    </row>
    <row r="883" spans="2:28" x14ac:dyDescent="0.25">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c r="AA883" s="51"/>
      <c r="AB883" s="51"/>
    </row>
    <row r="884" spans="2:28" x14ac:dyDescent="0.25">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c r="AA884" s="51"/>
      <c r="AB884" s="51"/>
    </row>
    <row r="885" spans="2:28" x14ac:dyDescent="0.25">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c r="AA885" s="51"/>
      <c r="AB885" s="51"/>
    </row>
    <row r="886" spans="2:28" x14ac:dyDescent="0.25">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c r="AA886" s="51"/>
      <c r="AB886" s="51"/>
    </row>
    <row r="887" spans="2:28" x14ac:dyDescent="0.25">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c r="AA887" s="51"/>
      <c r="AB887" s="51"/>
    </row>
    <row r="888" spans="2:28" x14ac:dyDescent="0.25">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c r="AA888" s="51"/>
      <c r="AB888" s="51"/>
    </row>
    <row r="889" spans="2:28" x14ac:dyDescent="0.25">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c r="AA889" s="51"/>
      <c r="AB889" s="51"/>
    </row>
    <row r="890" spans="2:28" x14ac:dyDescent="0.25">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c r="AA890" s="51"/>
      <c r="AB890" s="51"/>
    </row>
    <row r="891" spans="2:28" x14ac:dyDescent="0.25">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c r="AA891" s="51"/>
      <c r="AB891" s="51"/>
    </row>
    <row r="892" spans="2:28" x14ac:dyDescent="0.25">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c r="AA892" s="51"/>
      <c r="AB892" s="51"/>
    </row>
    <row r="893" spans="2:28" x14ac:dyDescent="0.25">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c r="AA893" s="51"/>
      <c r="AB893" s="51"/>
    </row>
    <row r="894" spans="2:28" x14ac:dyDescent="0.25">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c r="AA894" s="51"/>
      <c r="AB894" s="51"/>
    </row>
    <row r="895" spans="2:28" x14ac:dyDescent="0.25">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c r="AA895" s="51"/>
      <c r="AB895" s="51"/>
    </row>
    <row r="896" spans="2:28" x14ac:dyDescent="0.25">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c r="AA896" s="51"/>
      <c r="AB896" s="51"/>
    </row>
    <row r="897" spans="2:28" x14ac:dyDescent="0.25">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c r="AA897" s="51"/>
      <c r="AB897" s="51"/>
    </row>
    <row r="898" spans="2:28" x14ac:dyDescent="0.25">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c r="AA898" s="51"/>
      <c r="AB898" s="51"/>
    </row>
    <row r="899" spans="2:28" x14ac:dyDescent="0.25">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c r="AA899" s="51"/>
      <c r="AB899" s="51"/>
    </row>
    <row r="900" spans="2:28" x14ac:dyDescent="0.25">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c r="AA900" s="51"/>
      <c r="AB900" s="51"/>
    </row>
    <row r="901" spans="2:28" x14ac:dyDescent="0.25">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c r="AA901" s="51"/>
      <c r="AB901" s="51"/>
    </row>
    <row r="902" spans="2:28" x14ac:dyDescent="0.25">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c r="AA902" s="51"/>
      <c r="AB902" s="51"/>
    </row>
    <row r="903" spans="2:28" x14ac:dyDescent="0.25">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c r="AA903" s="51"/>
      <c r="AB903" s="51"/>
    </row>
    <row r="904" spans="2:28" x14ac:dyDescent="0.25">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c r="AA904" s="51"/>
      <c r="AB904" s="51"/>
    </row>
    <row r="905" spans="2:28" x14ac:dyDescent="0.25">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c r="AA905" s="51"/>
      <c r="AB905" s="51"/>
    </row>
    <row r="906" spans="2:28" x14ac:dyDescent="0.25">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c r="AA906" s="51"/>
      <c r="AB906" s="51"/>
    </row>
    <row r="907" spans="2:28" x14ac:dyDescent="0.25">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c r="AA907" s="51"/>
      <c r="AB907" s="51"/>
    </row>
    <row r="908" spans="2:28" x14ac:dyDescent="0.25">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c r="AA908" s="51"/>
      <c r="AB908" s="51"/>
    </row>
    <row r="909" spans="2:28" x14ac:dyDescent="0.25">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c r="AA909" s="51"/>
      <c r="AB909" s="51"/>
    </row>
    <row r="910" spans="2:28" x14ac:dyDescent="0.25">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c r="AA910" s="51"/>
      <c r="AB910" s="51"/>
    </row>
    <row r="911" spans="2:28" x14ac:dyDescent="0.25">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c r="AA911" s="51"/>
      <c r="AB911" s="51"/>
    </row>
    <row r="912" spans="2:28" x14ac:dyDescent="0.25">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c r="AA912" s="51"/>
      <c r="AB912" s="51"/>
    </row>
    <row r="913" spans="2:28" x14ac:dyDescent="0.25">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c r="AA913" s="51"/>
      <c r="AB913" s="51"/>
    </row>
    <row r="914" spans="2:28" x14ac:dyDescent="0.25">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c r="AA914" s="51"/>
      <c r="AB914" s="51"/>
    </row>
    <row r="915" spans="2:28" x14ac:dyDescent="0.25">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c r="AA915" s="51"/>
      <c r="AB915" s="51"/>
    </row>
    <row r="916" spans="2:28" x14ac:dyDescent="0.25">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c r="AA916" s="51"/>
      <c r="AB916" s="51"/>
    </row>
    <row r="917" spans="2:28" x14ac:dyDescent="0.25">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c r="AA917" s="51"/>
      <c r="AB917" s="51"/>
    </row>
    <row r="918" spans="2:28" x14ac:dyDescent="0.25">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c r="AA918" s="51"/>
      <c r="AB918" s="51"/>
    </row>
    <row r="919" spans="2:28" x14ac:dyDescent="0.25">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c r="AA919" s="51"/>
      <c r="AB919" s="51"/>
    </row>
    <row r="920" spans="2:28" x14ac:dyDescent="0.25">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c r="AA920" s="51"/>
      <c r="AB920" s="51"/>
    </row>
    <row r="921" spans="2:28" x14ac:dyDescent="0.25">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c r="AA921" s="51"/>
      <c r="AB921" s="51"/>
    </row>
    <row r="922" spans="2:28" x14ac:dyDescent="0.25">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c r="AA922" s="51"/>
      <c r="AB922" s="51"/>
    </row>
    <row r="923" spans="2:28" x14ac:dyDescent="0.25">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c r="AA923" s="51"/>
      <c r="AB923" s="51"/>
    </row>
    <row r="924" spans="2:28" x14ac:dyDescent="0.25">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c r="AA924" s="51"/>
      <c r="AB924" s="51"/>
    </row>
    <row r="925" spans="2:28" x14ac:dyDescent="0.25">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c r="AA925" s="51"/>
      <c r="AB925" s="51"/>
    </row>
    <row r="926" spans="2:28" x14ac:dyDescent="0.25">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c r="AA926" s="51"/>
      <c r="AB926" s="51"/>
    </row>
    <row r="927" spans="2:28" x14ac:dyDescent="0.25">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c r="AA927" s="51"/>
      <c r="AB927" s="51"/>
    </row>
    <row r="928" spans="2:28" x14ac:dyDescent="0.25">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c r="AA928" s="51"/>
      <c r="AB928" s="51"/>
    </row>
    <row r="929" spans="2:28" x14ac:dyDescent="0.25">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c r="AA929" s="51"/>
      <c r="AB929" s="51"/>
    </row>
    <row r="930" spans="2:28" x14ac:dyDescent="0.25">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c r="AA930" s="51"/>
      <c r="AB930" s="51"/>
    </row>
    <row r="931" spans="2:28" x14ac:dyDescent="0.25">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c r="AA931" s="51"/>
      <c r="AB931" s="51"/>
    </row>
    <row r="932" spans="2:28" x14ac:dyDescent="0.25">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c r="AA932" s="51"/>
      <c r="AB932" s="51"/>
    </row>
    <row r="933" spans="2:28" x14ac:dyDescent="0.25">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c r="AA933" s="51"/>
      <c r="AB933" s="51"/>
    </row>
    <row r="934" spans="2:28" x14ac:dyDescent="0.25">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c r="AA934" s="51"/>
      <c r="AB934" s="51"/>
    </row>
    <row r="935" spans="2:28" x14ac:dyDescent="0.25">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c r="AA935" s="51"/>
      <c r="AB935" s="51"/>
    </row>
    <row r="936" spans="2:28" x14ac:dyDescent="0.25">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c r="AA936" s="51"/>
      <c r="AB936" s="51"/>
    </row>
    <row r="937" spans="2:28" x14ac:dyDescent="0.25">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c r="AA937" s="51"/>
      <c r="AB937" s="51"/>
    </row>
    <row r="938" spans="2:28" x14ac:dyDescent="0.25">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c r="AA938" s="51"/>
      <c r="AB938" s="51"/>
    </row>
    <row r="939" spans="2:28" x14ac:dyDescent="0.25">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c r="AA939" s="51"/>
      <c r="AB939" s="51"/>
    </row>
    <row r="940" spans="2:28" x14ac:dyDescent="0.25">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c r="AA940" s="51"/>
      <c r="AB940" s="51"/>
    </row>
    <row r="941" spans="2:28" x14ac:dyDescent="0.25">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c r="AA941" s="51"/>
      <c r="AB941" s="51"/>
    </row>
    <row r="942" spans="2:28" x14ac:dyDescent="0.25">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c r="AA942" s="51"/>
      <c r="AB942" s="51"/>
    </row>
    <row r="943" spans="2:28" x14ac:dyDescent="0.25">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c r="AA943" s="51"/>
      <c r="AB943" s="51"/>
    </row>
    <row r="944" spans="2:28" x14ac:dyDescent="0.25">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c r="AA944" s="51"/>
      <c r="AB944" s="51"/>
    </row>
    <row r="945" spans="2:28" x14ac:dyDescent="0.25">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c r="AA945" s="51"/>
      <c r="AB945" s="51"/>
    </row>
    <row r="946" spans="2:28" x14ac:dyDescent="0.25">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c r="AA946" s="51"/>
      <c r="AB946" s="51"/>
    </row>
    <row r="947" spans="2:28" x14ac:dyDescent="0.25">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c r="AA947" s="51"/>
      <c r="AB947" s="51"/>
    </row>
    <row r="948" spans="2:28" x14ac:dyDescent="0.25">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c r="AA948" s="51"/>
      <c r="AB948" s="51"/>
    </row>
    <row r="949" spans="2:28" x14ac:dyDescent="0.25">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c r="AA949" s="51"/>
      <c r="AB949" s="51"/>
    </row>
    <row r="950" spans="2:28" x14ac:dyDescent="0.25">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c r="AA950" s="51"/>
      <c r="AB950" s="51"/>
    </row>
    <row r="951" spans="2:28" x14ac:dyDescent="0.25">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c r="AA951" s="51"/>
      <c r="AB951" s="51"/>
    </row>
    <row r="952" spans="2:28" x14ac:dyDescent="0.25">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c r="AA952" s="51"/>
      <c r="AB952" s="51"/>
    </row>
    <row r="953" spans="2:28" x14ac:dyDescent="0.25">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c r="AA953" s="51"/>
      <c r="AB953" s="51"/>
    </row>
    <row r="954" spans="2:28" x14ac:dyDescent="0.25">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c r="AA954" s="51"/>
      <c r="AB954" s="51"/>
    </row>
    <row r="955" spans="2:28" x14ac:dyDescent="0.25">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c r="AA955" s="51"/>
      <c r="AB955" s="51"/>
    </row>
    <row r="956" spans="2:28" x14ac:dyDescent="0.25">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c r="AA956" s="51"/>
      <c r="AB956" s="51"/>
    </row>
    <row r="957" spans="2:28" x14ac:dyDescent="0.25">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c r="AA957" s="51"/>
      <c r="AB957" s="51"/>
    </row>
    <row r="958" spans="2:28" x14ac:dyDescent="0.25">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c r="AA958" s="51"/>
      <c r="AB958" s="51"/>
    </row>
    <row r="959" spans="2:28" x14ac:dyDescent="0.25">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c r="AA959" s="51"/>
      <c r="AB959" s="51"/>
    </row>
    <row r="960" spans="2:28" x14ac:dyDescent="0.25">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c r="AA960" s="51"/>
      <c r="AB960" s="51"/>
    </row>
    <row r="961" spans="2:28" x14ac:dyDescent="0.25">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c r="AA961" s="51"/>
      <c r="AB961" s="51"/>
    </row>
    <row r="962" spans="2:28" x14ac:dyDescent="0.25">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c r="AA962" s="51"/>
      <c r="AB962" s="51"/>
    </row>
    <row r="963" spans="2:28" x14ac:dyDescent="0.25">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c r="AA963" s="51"/>
      <c r="AB963" s="51"/>
    </row>
    <row r="964" spans="2:28" x14ac:dyDescent="0.25">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c r="AA964" s="51"/>
      <c r="AB964" s="51"/>
    </row>
    <row r="965" spans="2:28" x14ac:dyDescent="0.25">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c r="AA965" s="51"/>
      <c r="AB965" s="51"/>
    </row>
    <row r="966" spans="2:28" x14ac:dyDescent="0.25">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c r="AA966" s="51"/>
      <c r="AB966" s="51"/>
    </row>
    <row r="967" spans="2:28" x14ac:dyDescent="0.25">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c r="AA967" s="51"/>
      <c r="AB967" s="51"/>
    </row>
    <row r="968" spans="2:28" x14ac:dyDescent="0.25">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c r="AA968" s="51"/>
      <c r="AB968" s="51"/>
    </row>
    <row r="969" spans="2:28" x14ac:dyDescent="0.25">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c r="AA969" s="51"/>
      <c r="AB969" s="51"/>
    </row>
    <row r="970" spans="2:28" x14ac:dyDescent="0.25">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c r="AA970" s="51"/>
      <c r="AB970" s="51"/>
    </row>
    <row r="971" spans="2:28" x14ac:dyDescent="0.25">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c r="AA971" s="51"/>
      <c r="AB971" s="51"/>
    </row>
    <row r="972" spans="2:28" x14ac:dyDescent="0.25">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c r="AA972" s="51"/>
      <c r="AB972" s="51"/>
    </row>
    <row r="973" spans="2:28" x14ac:dyDescent="0.25">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c r="AA973" s="51"/>
      <c r="AB973" s="51"/>
    </row>
    <row r="974" spans="2:28" x14ac:dyDescent="0.25">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c r="AA974" s="51"/>
      <c r="AB974" s="51"/>
    </row>
    <row r="975" spans="2:28" x14ac:dyDescent="0.25">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c r="AA975" s="51"/>
      <c r="AB975" s="51"/>
    </row>
    <row r="976" spans="2:28" x14ac:dyDescent="0.25">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c r="AA976" s="51"/>
      <c r="AB976" s="51"/>
    </row>
    <row r="977" spans="2:28" x14ac:dyDescent="0.25">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c r="AA977" s="51"/>
      <c r="AB977" s="51"/>
    </row>
    <row r="978" spans="2:28" x14ac:dyDescent="0.25">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c r="AA978" s="51"/>
      <c r="AB978" s="51"/>
    </row>
    <row r="979" spans="2:28" x14ac:dyDescent="0.25">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c r="AA979" s="51"/>
      <c r="AB979" s="51"/>
    </row>
    <row r="980" spans="2:28" x14ac:dyDescent="0.25">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c r="AA980" s="51"/>
      <c r="AB980" s="51"/>
    </row>
    <row r="981" spans="2:28" x14ac:dyDescent="0.25">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c r="AA981" s="51"/>
      <c r="AB981" s="51"/>
    </row>
    <row r="982" spans="2:28" x14ac:dyDescent="0.25">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c r="AA982" s="51"/>
      <c r="AB982" s="51"/>
    </row>
    <row r="983" spans="2:28" x14ac:dyDescent="0.25">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c r="AA983" s="51"/>
      <c r="AB983" s="51"/>
    </row>
    <row r="984" spans="2:28" x14ac:dyDescent="0.25">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c r="AA984" s="51"/>
      <c r="AB984" s="51"/>
    </row>
    <row r="985" spans="2:28" x14ac:dyDescent="0.25">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c r="AA985" s="51"/>
      <c r="AB985" s="51"/>
    </row>
    <row r="986" spans="2:28" x14ac:dyDescent="0.25">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c r="AA986" s="51"/>
      <c r="AB986" s="51"/>
    </row>
    <row r="987" spans="2:28" x14ac:dyDescent="0.25">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c r="AA987" s="51"/>
      <c r="AB987" s="51"/>
    </row>
    <row r="988" spans="2:28" x14ac:dyDescent="0.25">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c r="AA988" s="51"/>
      <c r="AB988" s="51"/>
    </row>
    <row r="989" spans="2:28" x14ac:dyDescent="0.25">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c r="AA989" s="51"/>
      <c r="AB989" s="51"/>
    </row>
    <row r="990" spans="2:28" x14ac:dyDescent="0.25">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c r="AA990" s="51"/>
      <c r="AB990" s="51"/>
    </row>
    <row r="991" spans="2:28" x14ac:dyDescent="0.25">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c r="AA991" s="51"/>
      <c r="AB991" s="51"/>
    </row>
    <row r="992" spans="2:28" x14ac:dyDescent="0.25">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c r="AA992" s="51"/>
      <c r="AB992" s="51"/>
    </row>
    <row r="993" spans="2:28" x14ac:dyDescent="0.25">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c r="AA993" s="51"/>
      <c r="AB993" s="51"/>
    </row>
    <row r="994" spans="2:28" x14ac:dyDescent="0.25">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c r="AA994" s="51"/>
      <c r="AB994" s="51"/>
    </row>
    <row r="995" spans="2:28" x14ac:dyDescent="0.25">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c r="AA995" s="51"/>
      <c r="AB995" s="51"/>
    </row>
    <row r="996" spans="2:28" x14ac:dyDescent="0.25">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c r="AA996" s="51"/>
      <c r="AB996" s="51"/>
    </row>
    <row r="997" spans="2:28" x14ac:dyDescent="0.25">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c r="AA997" s="51"/>
      <c r="AB997" s="51"/>
    </row>
    <row r="998" spans="2:28" x14ac:dyDescent="0.25">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c r="AA998" s="51"/>
      <c r="AB998" s="51"/>
    </row>
    <row r="999" spans="2:28" x14ac:dyDescent="0.25">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c r="AA999" s="51"/>
      <c r="AB999" s="51"/>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01"/>
  <sheetViews>
    <sheetView topLeftCell="A480" workbookViewId="0">
      <selection activeCell="A2" sqref="A2:A501"/>
    </sheetView>
  </sheetViews>
  <sheetFormatPr defaultColWidth="15.140625" defaultRowHeight="15" x14ac:dyDescent="0.25"/>
  <sheetData>
    <row r="1" spans="1:9" ht="15.75" thickBot="1" x14ac:dyDescent="0.3">
      <c r="A1" s="1"/>
      <c r="B1" s="2" t="s">
        <v>1</v>
      </c>
      <c r="C1" s="2" t="s">
        <v>2</v>
      </c>
      <c r="D1" s="2" t="s">
        <v>3</v>
      </c>
      <c r="E1" s="2" t="s">
        <v>4</v>
      </c>
      <c r="F1" s="2" t="s">
        <v>5</v>
      </c>
      <c r="G1" s="2" t="s">
        <v>6</v>
      </c>
      <c r="H1" s="2" t="s">
        <v>7</v>
      </c>
      <c r="I1" s="3"/>
    </row>
    <row r="2" spans="1:9" ht="15.75" thickBot="1" x14ac:dyDescent="0.3">
      <c r="A2" s="4" t="s">
        <v>8</v>
      </c>
      <c r="B2" s="5" t="s">
        <v>9</v>
      </c>
      <c r="C2" s="5" t="s">
        <v>10</v>
      </c>
      <c r="D2" s="5" t="s">
        <v>11</v>
      </c>
      <c r="E2" s="5" t="s">
        <v>12</v>
      </c>
      <c r="F2" s="5" t="s">
        <v>13</v>
      </c>
      <c r="G2" s="6">
        <v>7</v>
      </c>
      <c r="H2" s="5" t="s">
        <v>14</v>
      </c>
      <c r="I2" s="3"/>
    </row>
    <row r="3" spans="1:9" ht="15.75" thickBot="1" x14ac:dyDescent="0.3">
      <c r="A3" s="7" t="s">
        <v>15</v>
      </c>
      <c r="B3" s="8" t="s">
        <v>16</v>
      </c>
      <c r="C3" s="8" t="s">
        <v>10</v>
      </c>
      <c r="D3" s="8" t="s">
        <v>17</v>
      </c>
      <c r="E3" s="8" t="s">
        <v>18</v>
      </c>
      <c r="F3" s="8" t="s">
        <v>13</v>
      </c>
      <c r="G3" s="9">
        <v>1</v>
      </c>
      <c r="H3" s="8" t="s">
        <v>19</v>
      </c>
      <c r="I3" s="3"/>
    </row>
    <row r="4" spans="1:9" ht="15.75" thickBot="1" x14ac:dyDescent="0.3">
      <c r="A4" s="4" t="s">
        <v>20</v>
      </c>
      <c r="B4" s="5" t="s">
        <v>21</v>
      </c>
      <c r="C4" s="5" t="s">
        <v>22</v>
      </c>
      <c r="D4" s="5" t="s">
        <v>23</v>
      </c>
      <c r="E4" s="5" t="s">
        <v>24</v>
      </c>
      <c r="F4" s="5" t="s">
        <v>25</v>
      </c>
      <c r="G4" s="6">
        <v>7</v>
      </c>
      <c r="H4" s="5" t="s">
        <v>14</v>
      </c>
      <c r="I4" s="3"/>
    </row>
    <row r="5" spans="1:9" ht="15.75" thickBot="1" x14ac:dyDescent="0.3">
      <c r="A5" s="10">
        <v>46333</v>
      </c>
      <c r="B5" s="8" t="s">
        <v>26</v>
      </c>
      <c r="C5" s="8" t="s">
        <v>27</v>
      </c>
      <c r="D5" s="8" t="s">
        <v>17</v>
      </c>
      <c r="E5" s="8" t="s">
        <v>18</v>
      </c>
      <c r="F5" s="8" t="s">
        <v>28</v>
      </c>
      <c r="G5" s="9">
        <v>6</v>
      </c>
      <c r="H5" s="8" t="s">
        <v>14</v>
      </c>
      <c r="I5" s="3"/>
    </row>
    <row r="6" spans="1:9" ht="15.75" thickBot="1" x14ac:dyDescent="0.3">
      <c r="A6" s="4" t="s">
        <v>29</v>
      </c>
      <c r="B6" s="5" t="s">
        <v>30</v>
      </c>
      <c r="C6" s="5" t="s">
        <v>31</v>
      </c>
      <c r="D6" s="5" t="s">
        <v>11</v>
      </c>
      <c r="E6" s="5" t="s">
        <v>32</v>
      </c>
      <c r="F6" s="5" t="s">
        <v>33</v>
      </c>
      <c r="G6" s="6">
        <v>6</v>
      </c>
      <c r="H6" s="5" t="s">
        <v>14</v>
      </c>
      <c r="I6" s="3"/>
    </row>
    <row r="7" spans="1:9" ht="15.75" thickBot="1" x14ac:dyDescent="0.3">
      <c r="A7" s="10">
        <v>46359</v>
      </c>
      <c r="B7" s="8" t="s">
        <v>34</v>
      </c>
      <c r="C7" s="8" t="s">
        <v>35</v>
      </c>
      <c r="D7" s="8" t="s">
        <v>36</v>
      </c>
      <c r="E7" s="8" t="s">
        <v>37</v>
      </c>
      <c r="F7" s="8" t="s">
        <v>38</v>
      </c>
      <c r="G7" s="9">
        <v>6</v>
      </c>
      <c r="H7" s="8" t="s">
        <v>19</v>
      </c>
      <c r="I7" s="3"/>
    </row>
    <row r="8" spans="1:9" ht="15.75" thickBot="1" x14ac:dyDescent="0.3">
      <c r="A8" s="4" t="s">
        <v>39</v>
      </c>
      <c r="B8" s="5" t="s">
        <v>40</v>
      </c>
      <c r="C8" s="5" t="s">
        <v>10</v>
      </c>
      <c r="D8" s="5" t="s">
        <v>23</v>
      </c>
      <c r="E8" s="5" t="s">
        <v>24</v>
      </c>
      <c r="F8" s="5" t="s">
        <v>41</v>
      </c>
      <c r="G8" s="6">
        <v>13</v>
      </c>
      <c r="H8" s="5" t="s">
        <v>42</v>
      </c>
      <c r="I8" s="3"/>
    </row>
    <row r="9" spans="1:9" ht="15.75" thickBot="1" x14ac:dyDescent="0.3">
      <c r="A9" s="10">
        <v>46272</v>
      </c>
      <c r="B9" s="8" t="s">
        <v>9</v>
      </c>
      <c r="C9" s="8" t="s">
        <v>10</v>
      </c>
      <c r="D9" s="8" t="s">
        <v>43</v>
      </c>
      <c r="E9" s="8" t="s">
        <v>44</v>
      </c>
      <c r="F9" s="8" t="s">
        <v>41</v>
      </c>
      <c r="G9" s="9">
        <v>12</v>
      </c>
      <c r="H9" s="8" t="s">
        <v>42</v>
      </c>
      <c r="I9" s="3"/>
    </row>
    <row r="10" spans="1:9" ht="15.75" thickBot="1" x14ac:dyDescent="0.3">
      <c r="A10" s="4" t="s">
        <v>45</v>
      </c>
      <c r="B10" s="5" t="s">
        <v>21</v>
      </c>
      <c r="C10" s="5" t="s">
        <v>46</v>
      </c>
      <c r="D10" s="5" t="s">
        <v>23</v>
      </c>
      <c r="E10" s="5" t="s">
        <v>24</v>
      </c>
      <c r="F10" s="5" t="s">
        <v>47</v>
      </c>
      <c r="G10" s="6">
        <v>10</v>
      </c>
      <c r="H10" s="5" t="s">
        <v>42</v>
      </c>
      <c r="I10" s="3"/>
    </row>
    <row r="11" spans="1:9" ht="15.75" thickBot="1" x14ac:dyDescent="0.3">
      <c r="A11" s="10">
        <v>46271</v>
      </c>
      <c r="B11" s="8" t="s">
        <v>48</v>
      </c>
      <c r="C11" s="8" t="s">
        <v>10</v>
      </c>
      <c r="D11" s="8" t="s">
        <v>17</v>
      </c>
      <c r="E11" s="8" t="s">
        <v>24</v>
      </c>
      <c r="F11" s="8" t="s">
        <v>49</v>
      </c>
      <c r="G11" s="9">
        <v>15</v>
      </c>
      <c r="H11" s="8" t="s">
        <v>50</v>
      </c>
      <c r="I11" s="3"/>
    </row>
    <row r="12" spans="1:9" ht="15.75" thickBot="1" x14ac:dyDescent="0.3">
      <c r="A12" s="4" t="s">
        <v>51</v>
      </c>
      <c r="B12" s="5" t="s">
        <v>30</v>
      </c>
      <c r="C12" s="5" t="s">
        <v>10</v>
      </c>
      <c r="D12" s="5" t="s">
        <v>43</v>
      </c>
      <c r="E12" s="5" t="s">
        <v>52</v>
      </c>
      <c r="F12" s="5" t="s">
        <v>53</v>
      </c>
      <c r="G12" s="6">
        <v>8</v>
      </c>
      <c r="H12" s="5" t="s">
        <v>14</v>
      </c>
      <c r="I12" s="3"/>
    </row>
    <row r="13" spans="1:9" ht="15.75" thickBot="1" x14ac:dyDescent="0.3">
      <c r="A13" s="7" t="s">
        <v>54</v>
      </c>
      <c r="B13" s="8" t="s">
        <v>16</v>
      </c>
      <c r="C13" s="8" t="s">
        <v>31</v>
      </c>
      <c r="D13" s="8" t="s">
        <v>23</v>
      </c>
      <c r="E13" s="8" t="s">
        <v>52</v>
      </c>
      <c r="F13" s="8" t="s">
        <v>47</v>
      </c>
      <c r="G13" s="9">
        <v>9</v>
      </c>
      <c r="H13" s="8" t="s">
        <v>42</v>
      </c>
      <c r="I13" s="3"/>
    </row>
    <row r="14" spans="1:9" ht="15.75" thickBot="1" x14ac:dyDescent="0.3">
      <c r="A14" s="11">
        <v>46117</v>
      </c>
      <c r="B14" s="5" t="s">
        <v>55</v>
      </c>
      <c r="C14" s="5" t="s">
        <v>27</v>
      </c>
      <c r="D14" s="5" t="s">
        <v>23</v>
      </c>
      <c r="E14" s="5" t="s">
        <v>12</v>
      </c>
      <c r="F14" s="5" t="s">
        <v>56</v>
      </c>
      <c r="G14" s="6">
        <v>14</v>
      </c>
      <c r="H14" s="5" t="s">
        <v>14</v>
      </c>
      <c r="I14" s="3"/>
    </row>
    <row r="15" spans="1:9" ht="15.75" thickBot="1" x14ac:dyDescent="0.3">
      <c r="A15" s="10">
        <v>46266</v>
      </c>
      <c r="B15" s="8" t="s">
        <v>57</v>
      </c>
      <c r="C15" s="8" t="s">
        <v>46</v>
      </c>
      <c r="D15" s="8" t="s">
        <v>23</v>
      </c>
      <c r="E15" s="8" t="s">
        <v>44</v>
      </c>
      <c r="F15" s="8" t="s">
        <v>25</v>
      </c>
      <c r="G15" s="9">
        <v>4</v>
      </c>
      <c r="H15" s="8" t="s">
        <v>19</v>
      </c>
      <c r="I15" s="3"/>
    </row>
    <row r="16" spans="1:9" ht="15.75" thickBot="1" x14ac:dyDescent="0.3">
      <c r="A16" s="4" t="s">
        <v>15</v>
      </c>
      <c r="B16" s="5" t="s">
        <v>58</v>
      </c>
      <c r="C16" s="5" t="s">
        <v>22</v>
      </c>
      <c r="D16" s="5" t="s">
        <v>11</v>
      </c>
      <c r="E16" s="5" t="s">
        <v>59</v>
      </c>
      <c r="F16" s="5" t="s">
        <v>13</v>
      </c>
      <c r="G16" s="6">
        <v>6</v>
      </c>
      <c r="H16" s="5" t="s">
        <v>19</v>
      </c>
      <c r="I16" s="3"/>
    </row>
    <row r="17" spans="1:9" ht="15.75" thickBot="1" x14ac:dyDescent="0.3">
      <c r="A17" s="7" t="s">
        <v>60</v>
      </c>
      <c r="B17" s="8" t="s">
        <v>61</v>
      </c>
      <c r="C17" s="8" t="s">
        <v>62</v>
      </c>
      <c r="D17" s="8" t="s">
        <v>23</v>
      </c>
      <c r="E17" s="8" t="s">
        <v>63</v>
      </c>
      <c r="F17" s="8" t="s">
        <v>64</v>
      </c>
      <c r="G17" s="9">
        <v>10</v>
      </c>
      <c r="H17" s="8" t="s">
        <v>42</v>
      </c>
      <c r="I17" s="3"/>
    </row>
    <row r="18" spans="1:9" ht="15.75" thickBot="1" x14ac:dyDescent="0.3">
      <c r="A18" s="4" t="s">
        <v>65</v>
      </c>
      <c r="B18" s="5" t="s">
        <v>26</v>
      </c>
      <c r="C18" s="5" t="s">
        <v>66</v>
      </c>
      <c r="D18" s="5" t="s">
        <v>11</v>
      </c>
      <c r="E18" s="5" t="s">
        <v>67</v>
      </c>
      <c r="F18" s="5" t="s">
        <v>25</v>
      </c>
      <c r="G18" s="6">
        <v>7</v>
      </c>
      <c r="H18" s="5" t="s">
        <v>14</v>
      </c>
      <c r="I18" s="3"/>
    </row>
    <row r="19" spans="1:9" ht="15.75" thickBot="1" x14ac:dyDescent="0.3">
      <c r="A19" s="7" t="s">
        <v>68</v>
      </c>
      <c r="B19" s="8" t="s">
        <v>69</v>
      </c>
      <c r="C19" s="8" t="s">
        <v>70</v>
      </c>
      <c r="D19" s="8" t="s">
        <v>36</v>
      </c>
      <c r="E19" s="8" t="s">
        <v>32</v>
      </c>
      <c r="F19" s="8" t="s">
        <v>33</v>
      </c>
      <c r="G19" s="9">
        <v>7</v>
      </c>
      <c r="H19" s="8" t="s">
        <v>50</v>
      </c>
      <c r="I19" s="3"/>
    </row>
    <row r="20" spans="1:9" ht="15.75" thickBot="1" x14ac:dyDescent="0.3">
      <c r="A20" s="4" t="s">
        <v>71</v>
      </c>
      <c r="B20" s="5" t="s">
        <v>72</v>
      </c>
      <c r="C20" s="5" t="s">
        <v>66</v>
      </c>
      <c r="D20" s="5" t="s">
        <v>17</v>
      </c>
      <c r="E20" s="5" t="s">
        <v>24</v>
      </c>
      <c r="F20" s="5" t="s">
        <v>33</v>
      </c>
      <c r="G20" s="6">
        <v>11</v>
      </c>
      <c r="H20" s="5" t="s">
        <v>42</v>
      </c>
      <c r="I20" s="3"/>
    </row>
    <row r="21" spans="1:9" ht="15.75" thickBot="1" x14ac:dyDescent="0.3">
      <c r="A21" s="10">
        <v>46147</v>
      </c>
      <c r="B21" s="8" t="s">
        <v>26</v>
      </c>
      <c r="C21" s="8" t="s">
        <v>27</v>
      </c>
      <c r="D21" s="8" t="s">
        <v>11</v>
      </c>
      <c r="E21" s="8" t="s">
        <v>37</v>
      </c>
      <c r="F21" s="8" t="s">
        <v>73</v>
      </c>
      <c r="G21" s="9">
        <v>6</v>
      </c>
      <c r="H21" s="8" t="s">
        <v>42</v>
      </c>
      <c r="I21" s="3"/>
    </row>
    <row r="22" spans="1:9" ht="15.75" thickBot="1" x14ac:dyDescent="0.3">
      <c r="A22" s="11">
        <v>46211</v>
      </c>
      <c r="B22" s="5" t="s">
        <v>74</v>
      </c>
      <c r="C22" s="5" t="s">
        <v>10</v>
      </c>
      <c r="D22" s="5" t="s">
        <v>11</v>
      </c>
      <c r="E22" s="5" t="s">
        <v>32</v>
      </c>
      <c r="F22" s="5" t="s">
        <v>56</v>
      </c>
      <c r="G22" s="6">
        <v>8</v>
      </c>
      <c r="H22" s="5" t="s">
        <v>19</v>
      </c>
      <c r="I22" s="3"/>
    </row>
    <row r="23" spans="1:9" ht="15.75" thickBot="1" x14ac:dyDescent="0.3">
      <c r="A23" s="7" t="s">
        <v>75</v>
      </c>
      <c r="B23" s="8" t="s">
        <v>55</v>
      </c>
      <c r="C23" s="8" t="s">
        <v>62</v>
      </c>
      <c r="D23" s="8" t="s">
        <v>23</v>
      </c>
      <c r="E23" s="8" t="s">
        <v>67</v>
      </c>
      <c r="F23" s="8" t="s">
        <v>47</v>
      </c>
      <c r="G23" s="9">
        <v>5</v>
      </c>
      <c r="H23" s="8" t="s">
        <v>50</v>
      </c>
      <c r="I23" s="3"/>
    </row>
    <row r="24" spans="1:9" ht="15.75" thickBot="1" x14ac:dyDescent="0.3">
      <c r="A24" s="11">
        <v>46357</v>
      </c>
      <c r="B24" s="5" t="s">
        <v>48</v>
      </c>
      <c r="C24" s="5" t="s">
        <v>46</v>
      </c>
      <c r="D24" s="5" t="s">
        <v>23</v>
      </c>
      <c r="E24" s="5" t="s">
        <v>76</v>
      </c>
      <c r="F24" s="5" t="s">
        <v>73</v>
      </c>
      <c r="G24" s="6">
        <v>15</v>
      </c>
      <c r="H24" s="5" t="s">
        <v>19</v>
      </c>
      <c r="I24" s="3"/>
    </row>
    <row r="25" spans="1:9" ht="15.75" thickBot="1" x14ac:dyDescent="0.3">
      <c r="A25" s="7" t="s">
        <v>77</v>
      </c>
      <c r="B25" s="8" t="s">
        <v>34</v>
      </c>
      <c r="C25" s="8" t="s">
        <v>22</v>
      </c>
      <c r="D25" s="8" t="s">
        <v>23</v>
      </c>
      <c r="E25" s="8" t="s">
        <v>78</v>
      </c>
      <c r="F25" s="8" t="s">
        <v>49</v>
      </c>
      <c r="G25" s="9">
        <v>1</v>
      </c>
      <c r="H25" s="8" t="s">
        <v>19</v>
      </c>
      <c r="I25" s="3"/>
    </row>
    <row r="26" spans="1:9" ht="15.75" thickBot="1" x14ac:dyDescent="0.3">
      <c r="A26" s="4" t="s">
        <v>79</v>
      </c>
      <c r="B26" s="5" t="s">
        <v>80</v>
      </c>
      <c r="C26" s="5" t="s">
        <v>70</v>
      </c>
      <c r="D26" s="5" t="s">
        <v>36</v>
      </c>
      <c r="E26" s="5" t="s">
        <v>52</v>
      </c>
      <c r="F26" s="5" t="s">
        <v>38</v>
      </c>
      <c r="G26" s="6">
        <v>12</v>
      </c>
      <c r="H26" s="5" t="s">
        <v>42</v>
      </c>
      <c r="I26" s="3"/>
    </row>
    <row r="27" spans="1:9" ht="15.75" thickBot="1" x14ac:dyDescent="0.3">
      <c r="A27" s="7" t="s">
        <v>81</v>
      </c>
      <c r="B27" s="8" t="s">
        <v>16</v>
      </c>
      <c r="C27" s="8" t="s">
        <v>27</v>
      </c>
      <c r="D27" s="8" t="s">
        <v>23</v>
      </c>
      <c r="E27" s="8" t="s">
        <v>67</v>
      </c>
      <c r="F27" s="8" t="s">
        <v>53</v>
      </c>
      <c r="G27" s="9">
        <v>9</v>
      </c>
      <c r="H27" s="8" t="s">
        <v>50</v>
      </c>
      <c r="I27" s="3"/>
    </row>
    <row r="28" spans="1:9" ht="15.75" thickBot="1" x14ac:dyDescent="0.3">
      <c r="A28" s="11">
        <v>46333</v>
      </c>
      <c r="B28" s="5" t="s">
        <v>57</v>
      </c>
      <c r="C28" s="5" t="s">
        <v>10</v>
      </c>
      <c r="D28" s="5" t="s">
        <v>23</v>
      </c>
      <c r="E28" s="5" t="s">
        <v>24</v>
      </c>
      <c r="F28" s="5" t="s">
        <v>38</v>
      </c>
      <c r="G28" s="6">
        <v>5</v>
      </c>
      <c r="H28" s="5" t="s">
        <v>50</v>
      </c>
      <c r="I28" s="3"/>
    </row>
    <row r="29" spans="1:9" ht="15.75" thickBot="1" x14ac:dyDescent="0.3">
      <c r="A29" s="10">
        <v>46298</v>
      </c>
      <c r="B29" s="8" t="s">
        <v>16</v>
      </c>
      <c r="C29" s="8" t="s">
        <v>70</v>
      </c>
      <c r="D29" s="8" t="s">
        <v>23</v>
      </c>
      <c r="E29" s="8" t="s">
        <v>52</v>
      </c>
      <c r="F29" s="8" t="s">
        <v>73</v>
      </c>
      <c r="G29" s="9">
        <v>8</v>
      </c>
      <c r="H29" s="8" t="s">
        <v>14</v>
      </c>
      <c r="I29" s="3"/>
    </row>
    <row r="30" spans="1:9" ht="15.75" thickBot="1" x14ac:dyDescent="0.3">
      <c r="A30" s="4" t="s">
        <v>82</v>
      </c>
      <c r="B30" s="5" t="s">
        <v>48</v>
      </c>
      <c r="C30" s="5" t="s">
        <v>46</v>
      </c>
      <c r="D30" s="5" t="s">
        <v>11</v>
      </c>
      <c r="E30" s="5" t="s">
        <v>83</v>
      </c>
      <c r="F30" s="5" t="s">
        <v>25</v>
      </c>
      <c r="G30" s="6">
        <v>2</v>
      </c>
      <c r="H30" s="5" t="s">
        <v>14</v>
      </c>
      <c r="I30" s="3"/>
    </row>
    <row r="31" spans="1:9" ht="15.75" thickBot="1" x14ac:dyDescent="0.3">
      <c r="A31" s="7" t="s">
        <v>84</v>
      </c>
      <c r="B31" s="8" t="s">
        <v>85</v>
      </c>
      <c r="C31" s="8" t="s">
        <v>10</v>
      </c>
      <c r="D31" s="8" t="s">
        <v>36</v>
      </c>
      <c r="E31" s="8" t="s">
        <v>59</v>
      </c>
      <c r="F31" s="8" t="s">
        <v>86</v>
      </c>
      <c r="G31" s="9">
        <v>7</v>
      </c>
      <c r="H31" s="8" t="s">
        <v>42</v>
      </c>
      <c r="I31" s="3"/>
    </row>
    <row r="32" spans="1:9" ht="15.75" thickBot="1" x14ac:dyDescent="0.3">
      <c r="A32" s="4" t="s">
        <v>87</v>
      </c>
      <c r="B32" s="5" t="s">
        <v>88</v>
      </c>
      <c r="C32" s="5" t="s">
        <v>46</v>
      </c>
      <c r="D32" s="5" t="s">
        <v>11</v>
      </c>
      <c r="E32" s="5" t="s">
        <v>76</v>
      </c>
      <c r="F32" s="5" t="s">
        <v>56</v>
      </c>
      <c r="G32" s="6">
        <v>12</v>
      </c>
      <c r="H32" s="5" t="s">
        <v>50</v>
      </c>
      <c r="I32" s="3"/>
    </row>
    <row r="33" spans="1:9" ht="15.75" thickBot="1" x14ac:dyDescent="0.3">
      <c r="A33" s="10">
        <v>46362</v>
      </c>
      <c r="B33" s="8" t="s">
        <v>34</v>
      </c>
      <c r="C33" s="8" t="s">
        <v>46</v>
      </c>
      <c r="D33" s="8" t="s">
        <v>36</v>
      </c>
      <c r="E33" s="8" t="s">
        <v>32</v>
      </c>
      <c r="F33" s="8" t="s">
        <v>73</v>
      </c>
      <c r="G33" s="9">
        <v>15</v>
      </c>
      <c r="H33" s="8" t="s">
        <v>19</v>
      </c>
      <c r="I33" s="3"/>
    </row>
    <row r="34" spans="1:9" ht="15.75" thickBot="1" x14ac:dyDescent="0.3">
      <c r="A34" s="11">
        <v>46061</v>
      </c>
      <c r="B34" s="5" t="s">
        <v>26</v>
      </c>
      <c r="C34" s="5" t="s">
        <v>22</v>
      </c>
      <c r="D34" s="5" t="s">
        <v>11</v>
      </c>
      <c r="E34" s="5" t="s">
        <v>63</v>
      </c>
      <c r="F34" s="5" t="s">
        <v>13</v>
      </c>
      <c r="G34" s="6">
        <v>7</v>
      </c>
      <c r="H34" s="5" t="s">
        <v>50</v>
      </c>
      <c r="I34" s="3"/>
    </row>
    <row r="35" spans="1:9" ht="15.75" thickBot="1" x14ac:dyDescent="0.3">
      <c r="A35" s="7" t="s">
        <v>89</v>
      </c>
      <c r="B35" s="8" t="s">
        <v>55</v>
      </c>
      <c r="C35" s="8" t="s">
        <v>46</v>
      </c>
      <c r="D35" s="8" t="s">
        <v>17</v>
      </c>
      <c r="E35" s="8" t="s">
        <v>18</v>
      </c>
      <c r="F35" s="8" t="s">
        <v>49</v>
      </c>
      <c r="G35" s="9">
        <v>10</v>
      </c>
      <c r="H35" s="8" t="s">
        <v>14</v>
      </c>
      <c r="I35" s="3"/>
    </row>
    <row r="36" spans="1:9" ht="15.75" thickBot="1" x14ac:dyDescent="0.3">
      <c r="A36" s="4" t="s">
        <v>51</v>
      </c>
      <c r="B36" s="5" t="s">
        <v>9</v>
      </c>
      <c r="C36" s="5" t="s">
        <v>90</v>
      </c>
      <c r="D36" s="5" t="s">
        <v>23</v>
      </c>
      <c r="E36" s="5" t="s">
        <v>18</v>
      </c>
      <c r="F36" s="5" t="s">
        <v>64</v>
      </c>
      <c r="G36" s="6">
        <v>7</v>
      </c>
      <c r="H36" s="5" t="s">
        <v>14</v>
      </c>
      <c r="I36" s="3"/>
    </row>
    <row r="37" spans="1:9" ht="15.75" thickBot="1" x14ac:dyDescent="0.3">
      <c r="A37" s="7" t="s">
        <v>91</v>
      </c>
      <c r="B37" s="8" t="s">
        <v>26</v>
      </c>
      <c r="C37" s="8" t="s">
        <v>46</v>
      </c>
      <c r="D37" s="8" t="s">
        <v>11</v>
      </c>
      <c r="E37" s="8" t="s">
        <v>44</v>
      </c>
      <c r="F37" s="8" t="s">
        <v>28</v>
      </c>
      <c r="G37" s="9">
        <v>5</v>
      </c>
      <c r="H37" s="8" t="s">
        <v>19</v>
      </c>
      <c r="I37" s="3"/>
    </row>
    <row r="38" spans="1:9" ht="15.75" thickBot="1" x14ac:dyDescent="0.3">
      <c r="A38" s="11">
        <v>46087</v>
      </c>
      <c r="B38" s="5" t="s">
        <v>80</v>
      </c>
      <c r="C38" s="5" t="s">
        <v>22</v>
      </c>
      <c r="D38" s="5" t="s">
        <v>11</v>
      </c>
      <c r="E38" s="5" t="s">
        <v>52</v>
      </c>
      <c r="F38" s="5" t="s">
        <v>53</v>
      </c>
      <c r="G38" s="6">
        <v>11</v>
      </c>
      <c r="H38" s="5" t="s">
        <v>14</v>
      </c>
      <c r="I38" s="3"/>
    </row>
    <row r="39" spans="1:9" ht="15.75" thickBot="1" x14ac:dyDescent="0.3">
      <c r="A39" s="7" t="s">
        <v>60</v>
      </c>
      <c r="B39" s="8" t="s">
        <v>92</v>
      </c>
      <c r="C39" s="8" t="s">
        <v>70</v>
      </c>
      <c r="D39" s="8" t="s">
        <v>11</v>
      </c>
      <c r="E39" s="8" t="s">
        <v>83</v>
      </c>
      <c r="F39" s="8" t="s">
        <v>73</v>
      </c>
      <c r="G39" s="9">
        <v>10</v>
      </c>
      <c r="H39" s="8" t="s">
        <v>14</v>
      </c>
      <c r="I39" s="3"/>
    </row>
    <row r="40" spans="1:9" ht="15.75" thickBot="1" x14ac:dyDescent="0.3">
      <c r="A40" s="4" t="s">
        <v>91</v>
      </c>
      <c r="B40" s="5" t="s">
        <v>16</v>
      </c>
      <c r="C40" s="5" t="s">
        <v>90</v>
      </c>
      <c r="D40" s="5" t="s">
        <v>23</v>
      </c>
      <c r="E40" s="5" t="s">
        <v>32</v>
      </c>
      <c r="F40" s="5" t="s">
        <v>41</v>
      </c>
      <c r="G40" s="6">
        <v>10</v>
      </c>
      <c r="H40" s="5" t="s">
        <v>50</v>
      </c>
      <c r="I40" s="3"/>
    </row>
    <row r="41" spans="1:9" ht="15.75" thickBot="1" x14ac:dyDescent="0.3">
      <c r="A41" s="10">
        <v>46087</v>
      </c>
      <c r="B41" s="8" t="s">
        <v>48</v>
      </c>
      <c r="C41" s="8" t="s">
        <v>10</v>
      </c>
      <c r="D41" s="8" t="s">
        <v>11</v>
      </c>
      <c r="E41" s="8" t="s">
        <v>76</v>
      </c>
      <c r="F41" s="8" t="s">
        <v>56</v>
      </c>
      <c r="G41" s="9">
        <v>13</v>
      </c>
      <c r="H41" s="8" t="s">
        <v>14</v>
      </c>
      <c r="I41" s="3"/>
    </row>
    <row r="42" spans="1:9" ht="15.75" thickBot="1" x14ac:dyDescent="0.3">
      <c r="A42" s="11">
        <v>46268</v>
      </c>
      <c r="B42" s="5" t="s">
        <v>88</v>
      </c>
      <c r="C42" s="5" t="s">
        <v>46</v>
      </c>
      <c r="D42" s="5" t="s">
        <v>36</v>
      </c>
      <c r="E42" s="5" t="s">
        <v>24</v>
      </c>
      <c r="F42" s="5" t="s">
        <v>41</v>
      </c>
      <c r="G42" s="6">
        <v>7</v>
      </c>
      <c r="H42" s="5" t="s">
        <v>42</v>
      </c>
      <c r="I42" s="3"/>
    </row>
    <row r="43" spans="1:9" ht="15.75" thickBot="1" x14ac:dyDescent="0.3">
      <c r="A43" s="7" t="s">
        <v>93</v>
      </c>
      <c r="B43" s="8" t="s">
        <v>80</v>
      </c>
      <c r="C43" s="8" t="s">
        <v>94</v>
      </c>
      <c r="D43" s="8" t="s">
        <v>23</v>
      </c>
      <c r="E43" s="8" t="s">
        <v>12</v>
      </c>
      <c r="F43" s="8" t="s">
        <v>25</v>
      </c>
      <c r="G43" s="9">
        <v>14</v>
      </c>
      <c r="H43" s="8" t="s">
        <v>42</v>
      </c>
      <c r="I43" s="3"/>
    </row>
    <row r="44" spans="1:9" ht="15.75" thickBot="1" x14ac:dyDescent="0.3">
      <c r="A44" s="4" t="s">
        <v>95</v>
      </c>
      <c r="B44" s="5" t="s">
        <v>48</v>
      </c>
      <c r="C44" s="5" t="s">
        <v>66</v>
      </c>
      <c r="D44" s="5" t="s">
        <v>23</v>
      </c>
      <c r="E44" s="5" t="s">
        <v>32</v>
      </c>
      <c r="F44" s="5" t="s">
        <v>38</v>
      </c>
      <c r="G44" s="6">
        <v>13</v>
      </c>
      <c r="H44" s="5" t="s">
        <v>50</v>
      </c>
      <c r="I44" s="3"/>
    </row>
    <row r="45" spans="1:9" ht="15.75" thickBot="1" x14ac:dyDescent="0.3">
      <c r="A45" s="7" t="s">
        <v>96</v>
      </c>
      <c r="B45" s="8" t="s">
        <v>97</v>
      </c>
      <c r="C45" s="8" t="s">
        <v>90</v>
      </c>
      <c r="D45" s="8" t="s">
        <v>11</v>
      </c>
      <c r="E45" s="8" t="s">
        <v>12</v>
      </c>
      <c r="F45" s="8" t="s">
        <v>64</v>
      </c>
      <c r="G45" s="9">
        <v>3</v>
      </c>
      <c r="H45" s="8" t="s">
        <v>19</v>
      </c>
      <c r="I45" s="3"/>
    </row>
    <row r="46" spans="1:9" ht="15.75" thickBot="1" x14ac:dyDescent="0.3">
      <c r="A46" s="4" t="s">
        <v>98</v>
      </c>
      <c r="B46" s="5" t="s">
        <v>80</v>
      </c>
      <c r="C46" s="5" t="s">
        <v>46</v>
      </c>
      <c r="D46" s="5" t="s">
        <v>23</v>
      </c>
      <c r="E46" s="5" t="s">
        <v>78</v>
      </c>
      <c r="F46" s="5" t="s">
        <v>33</v>
      </c>
      <c r="G46" s="6">
        <v>1</v>
      </c>
      <c r="H46" s="5" t="s">
        <v>14</v>
      </c>
      <c r="I46" s="3"/>
    </row>
    <row r="47" spans="1:9" ht="15.75" thickBot="1" x14ac:dyDescent="0.3">
      <c r="A47" s="7" t="s">
        <v>99</v>
      </c>
      <c r="B47" s="8" t="s">
        <v>55</v>
      </c>
      <c r="C47" s="8" t="s">
        <v>10</v>
      </c>
      <c r="D47" s="8" t="s">
        <v>11</v>
      </c>
      <c r="E47" s="8" t="s">
        <v>32</v>
      </c>
      <c r="F47" s="8" t="s">
        <v>56</v>
      </c>
      <c r="G47" s="9">
        <v>9</v>
      </c>
      <c r="H47" s="8" t="s">
        <v>50</v>
      </c>
      <c r="I47" s="3"/>
    </row>
    <row r="48" spans="1:9" ht="15.75" thickBot="1" x14ac:dyDescent="0.3">
      <c r="A48" s="11">
        <v>46089</v>
      </c>
      <c r="B48" s="5" t="s">
        <v>80</v>
      </c>
      <c r="C48" s="5" t="s">
        <v>22</v>
      </c>
      <c r="D48" s="5" t="s">
        <v>23</v>
      </c>
      <c r="E48" s="5" t="s">
        <v>83</v>
      </c>
      <c r="F48" s="5" t="s">
        <v>86</v>
      </c>
      <c r="G48" s="6">
        <v>5</v>
      </c>
      <c r="H48" s="5" t="s">
        <v>50</v>
      </c>
      <c r="I48" s="3"/>
    </row>
    <row r="49" spans="1:9" ht="15.75" thickBot="1" x14ac:dyDescent="0.3">
      <c r="A49" s="10">
        <v>46145</v>
      </c>
      <c r="B49" s="8" t="s">
        <v>48</v>
      </c>
      <c r="C49" s="8" t="s">
        <v>70</v>
      </c>
      <c r="D49" s="8" t="s">
        <v>17</v>
      </c>
      <c r="E49" s="8" t="s">
        <v>37</v>
      </c>
      <c r="F49" s="8" t="s">
        <v>41</v>
      </c>
      <c r="G49" s="9">
        <v>11</v>
      </c>
      <c r="H49" s="8" t="s">
        <v>50</v>
      </c>
      <c r="I49" s="3"/>
    </row>
    <row r="50" spans="1:9" ht="15.75" thickBot="1" x14ac:dyDescent="0.3">
      <c r="A50" s="4" t="s">
        <v>100</v>
      </c>
      <c r="B50" s="5" t="s">
        <v>101</v>
      </c>
      <c r="C50" s="5" t="s">
        <v>46</v>
      </c>
      <c r="D50" s="5" t="s">
        <v>17</v>
      </c>
      <c r="E50" s="5" t="s">
        <v>83</v>
      </c>
      <c r="F50" s="5" t="s">
        <v>41</v>
      </c>
      <c r="G50" s="6">
        <v>6</v>
      </c>
      <c r="H50" s="5" t="s">
        <v>19</v>
      </c>
      <c r="I50" s="3"/>
    </row>
    <row r="51" spans="1:9" ht="15.75" thickBot="1" x14ac:dyDescent="0.3">
      <c r="A51" s="7" t="s">
        <v>102</v>
      </c>
      <c r="B51" s="8" t="s">
        <v>30</v>
      </c>
      <c r="C51" s="8" t="s">
        <v>27</v>
      </c>
      <c r="D51" s="8" t="s">
        <v>36</v>
      </c>
      <c r="E51" s="8" t="s">
        <v>83</v>
      </c>
      <c r="F51" s="8" t="s">
        <v>103</v>
      </c>
      <c r="G51" s="9">
        <v>1</v>
      </c>
      <c r="H51" s="8" t="s">
        <v>50</v>
      </c>
      <c r="I51" s="3"/>
    </row>
    <row r="52" spans="1:9" ht="15.75" thickBot="1" x14ac:dyDescent="0.3">
      <c r="A52" s="11">
        <v>46181</v>
      </c>
      <c r="B52" s="5" t="s">
        <v>34</v>
      </c>
      <c r="C52" s="5" t="s">
        <v>62</v>
      </c>
      <c r="D52" s="5" t="s">
        <v>11</v>
      </c>
      <c r="E52" s="5" t="s">
        <v>24</v>
      </c>
      <c r="F52" s="5" t="s">
        <v>86</v>
      </c>
      <c r="G52" s="6">
        <v>4</v>
      </c>
      <c r="H52" s="5" t="s">
        <v>14</v>
      </c>
      <c r="I52" s="3"/>
    </row>
    <row r="53" spans="1:9" ht="15.75" thickBot="1" x14ac:dyDescent="0.3">
      <c r="A53" s="7" t="s">
        <v>104</v>
      </c>
      <c r="B53" s="8" t="s">
        <v>57</v>
      </c>
      <c r="C53" s="8" t="s">
        <v>27</v>
      </c>
      <c r="D53" s="8" t="s">
        <v>17</v>
      </c>
      <c r="E53" s="8" t="s">
        <v>24</v>
      </c>
      <c r="F53" s="8" t="s">
        <v>53</v>
      </c>
      <c r="G53" s="9">
        <v>5</v>
      </c>
      <c r="H53" s="8" t="s">
        <v>42</v>
      </c>
      <c r="I53" s="3"/>
    </row>
    <row r="54" spans="1:9" ht="15.75" thickBot="1" x14ac:dyDescent="0.3">
      <c r="A54" s="11">
        <v>46145</v>
      </c>
      <c r="B54" s="5" t="s">
        <v>9</v>
      </c>
      <c r="C54" s="5" t="s">
        <v>10</v>
      </c>
      <c r="D54" s="5" t="s">
        <v>17</v>
      </c>
      <c r="E54" s="5" t="s">
        <v>83</v>
      </c>
      <c r="F54" s="5" t="s">
        <v>13</v>
      </c>
      <c r="G54" s="6">
        <v>4</v>
      </c>
      <c r="H54" s="5" t="s">
        <v>19</v>
      </c>
      <c r="I54" s="3"/>
    </row>
    <row r="55" spans="1:9" ht="15.75" thickBot="1" x14ac:dyDescent="0.3">
      <c r="A55" s="7" t="s">
        <v>105</v>
      </c>
      <c r="B55" s="8" t="s">
        <v>88</v>
      </c>
      <c r="C55" s="8" t="s">
        <v>46</v>
      </c>
      <c r="D55" s="8" t="s">
        <v>17</v>
      </c>
      <c r="E55" s="8" t="s">
        <v>63</v>
      </c>
      <c r="F55" s="8" t="s">
        <v>25</v>
      </c>
      <c r="G55" s="9">
        <v>1</v>
      </c>
      <c r="H55" s="8" t="s">
        <v>50</v>
      </c>
      <c r="I55" s="3"/>
    </row>
    <row r="56" spans="1:9" ht="15.75" thickBot="1" x14ac:dyDescent="0.3">
      <c r="A56" s="4" t="s">
        <v>106</v>
      </c>
      <c r="B56" s="5" t="s">
        <v>34</v>
      </c>
      <c r="C56" s="5" t="s">
        <v>46</v>
      </c>
      <c r="D56" s="5" t="s">
        <v>11</v>
      </c>
      <c r="E56" s="5" t="s">
        <v>18</v>
      </c>
      <c r="F56" s="5" t="s">
        <v>73</v>
      </c>
      <c r="G56" s="6">
        <v>4</v>
      </c>
      <c r="H56" s="5" t="s">
        <v>14</v>
      </c>
      <c r="I56" s="3"/>
    </row>
    <row r="57" spans="1:9" ht="15.75" thickBot="1" x14ac:dyDescent="0.3">
      <c r="A57" s="10">
        <v>46057</v>
      </c>
      <c r="B57" s="8" t="s">
        <v>74</v>
      </c>
      <c r="C57" s="8" t="s">
        <v>70</v>
      </c>
      <c r="D57" s="8" t="s">
        <v>17</v>
      </c>
      <c r="E57" s="8" t="s">
        <v>32</v>
      </c>
      <c r="F57" s="8" t="s">
        <v>28</v>
      </c>
      <c r="G57" s="9">
        <v>5</v>
      </c>
      <c r="H57" s="8" t="s">
        <v>19</v>
      </c>
      <c r="I57" s="3"/>
    </row>
    <row r="58" spans="1:9" ht="15.75" thickBot="1" x14ac:dyDescent="0.3">
      <c r="A58" s="11">
        <v>46059</v>
      </c>
      <c r="B58" s="5" t="s">
        <v>107</v>
      </c>
      <c r="C58" s="5" t="s">
        <v>66</v>
      </c>
      <c r="D58" s="5" t="s">
        <v>17</v>
      </c>
      <c r="E58" s="5" t="s">
        <v>76</v>
      </c>
      <c r="F58" s="5" t="s">
        <v>49</v>
      </c>
      <c r="G58" s="6">
        <v>2</v>
      </c>
      <c r="H58" s="5" t="s">
        <v>42</v>
      </c>
      <c r="I58" s="3"/>
    </row>
    <row r="59" spans="1:9" ht="15.75" thickBot="1" x14ac:dyDescent="0.3">
      <c r="A59" s="7" t="s">
        <v>108</v>
      </c>
      <c r="B59" s="8" t="s">
        <v>58</v>
      </c>
      <c r="C59" s="8" t="s">
        <v>46</v>
      </c>
      <c r="D59" s="8" t="s">
        <v>11</v>
      </c>
      <c r="E59" s="8" t="s">
        <v>37</v>
      </c>
      <c r="F59" s="8" t="s">
        <v>25</v>
      </c>
      <c r="G59" s="9">
        <v>1</v>
      </c>
      <c r="H59" s="8" t="s">
        <v>14</v>
      </c>
      <c r="I59" s="3"/>
    </row>
    <row r="60" spans="1:9" ht="15.75" thickBot="1" x14ac:dyDescent="0.3">
      <c r="A60" s="4" t="s">
        <v>109</v>
      </c>
      <c r="B60" s="5" t="s">
        <v>55</v>
      </c>
      <c r="C60" s="5" t="s">
        <v>62</v>
      </c>
      <c r="D60" s="5" t="s">
        <v>23</v>
      </c>
      <c r="E60" s="5" t="s">
        <v>12</v>
      </c>
      <c r="F60" s="5" t="s">
        <v>13</v>
      </c>
      <c r="G60" s="6">
        <v>15</v>
      </c>
      <c r="H60" s="5" t="s">
        <v>14</v>
      </c>
      <c r="I60" s="3"/>
    </row>
    <row r="61" spans="1:9" ht="15.75" thickBot="1" x14ac:dyDescent="0.3">
      <c r="A61" s="7" t="s">
        <v>110</v>
      </c>
      <c r="B61" s="8" t="s">
        <v>26</v>
      </c>
      <c r="C61" s="8" t="s">
        <v>46</v>
      </c>
      <c r="D61" s="8" t="s">
        <v>23</v>
      </c>
      <c r="E61" s="8" t="s">
        <v>76</v>
      </c>
      <c r="F61" s="8" t="s">
        <v>33</v>
      </c>
      <c r="G61" s="9">
        <v>11</v>
      </c>
      <c r="H61" s="8" t="s">
        <v>50</v>
      </c>
      <c r="I61" s="3"/>
    </row>
    <row r="62" spans="1:9" ht="15.75" thickBot="1" x14ac:dyDescent="0.3">
      <c r="A62" s="11">
        <v>46269</v>
      </c>
      <c r="B62" s="5" t="s">
        <v>72</v>
      </c>
      <c r="C62" s="5" t="s">
        <v>111</v>
      </c>
      <c r="D62" s="5" t="s">
        <v>11</v>
      </c>
      <c r="E62" s="5" t="s">
        <v>52</v>
      </c>
      <c r="F62" s="5" t="s">
        <v>38</v>
      </c>
      <c r="G62" s="6">
        <v>10</v>
      </c>
      <c r="H62" s="5" t="s">
        <v>19</v>
      </c>
      <c r="I62" s="3"/>
    </row>
    <row r="63" spans="1:9" ht="15.75" thickBot="1" x14ac:dyDescent="0.3">
      <c r="A63" s="7" t="s">
        <v>112</v>
      </c>
      <c r="B63" s="8" t="s">
        <v>40</v>
      </c>
      <c r="C63" s="8" t="s">
        <v>22</v>
      </c>
      <c r="D63" s="8" t="s">
        <v>43</v>
      </c>
      <c r="E63" s="8" t="s">
        <v>76</v>
      </c>
      <c r="F63" s="8" t="s">
        <v>28</v>
      </c>
      <c r="G63" s="9">
        <v>9</v>
      </c>
      <c r="H63" s="8" t="s">
        <v>19</v>
      </c>
      <c r="I63" s="3"/>
    </row>
    <row r="64" spans="1:9" ht="15.75" thickBot="1" x14ac:dyDescent="0.3">
      <c r="A64" s="4" t="s">
        <v>113</v>
      </c>
      <c r="B64" s="5" t="s">
        <v>97</v>
      </c>
      <c r="C64" s="5" t="s">
        <v>46</v>
      </c>
      <c r="D64" s="5" t="s">
        <v>36</v>
      </c>
      <c r="E64" s="5" t="s">
        <v>18</v>
      </c>
      <c r="F64" s="5" t="s">
        <v>13</v>
      </c>
      <c r="G64" s="6">
        <v>1</v>
      </c>
      <c r="H64" s="5" t="s">
        <v>14</v>
      </c>
      <c r="I64" s="3"/>
    </row>
    <row r="65" spans="1:9" ht="15.75" thickBot="1" x14ac:dyDescent="0.3">
      <c r="A65" s="7" t="s">
        <v>114</v>
      </c>
      <c r="B65" s="8" t="s">
        <v>48</v>
      </c>
      <c r="C65" s="8" t="s">
        <v>10</v>
      </c>
      <c r="D65" s="8" t="s">
        <v>23</v>
      </c>
      <c r="E65" s="8" t="s">
        <v>59</v>
      </c>
      <c r="F65" s="8" t="s">
        <v>49</v>
      </c>
      <c r="G65" s="9">
        <v>8</v>
      </c>
      <c r="H65" s="8" t="s">
        <v>14</v>
      </c>
      <c r="I65" s="3"/>
    </row>
    <row r="66" spans="1:9" ht="15.75" thickBot="1" x14ac:dyDescent="0.3">
      <c r="A66" s="4" t="s">
        <v>71</v>
      </c>
      <c r="B66" s="5" t="s">
        <v>57</v>
      </c>
      <c r="C66" s="5" t="s">
        <v>70</v>
      </c>
      <c r="D66" s="5" t="s">
        <v>23</v>
      </c>
      <c r="E66" s="5" t="s">
        <v>76</v>
      </c>
      <c r="F66" s="5" t="s">
        <v>56</v>
      </c>
      <c r="G66" s="6">
        <v>5</v>
      </c>
      <c r="H66" s="5" t="s">
        <v>14</v>
      </c>
      <c r="I66" s="3"/>
    </row>
    <row r="67" spans="1:9" ht="15.75" thickBot="1" x14ac:dyDescent="0.3">
      <c r="A67" s="10">
        <v>46360</v>
      </c>
      <c r="B67" s="8" t="s">
        <v>61</v>
      </c>
      <c r="C67" s="8" t="s">
        <v>62</v>
      </c>
      <c r="D67" s="8" t="s">
        <v>17</v>
      </c>
      <c r="E67" s="8" t="s">
        <v>115</v>
      </c>
      <c r="F67" s="8" t="s">
        <v>25</v>
      </c>
      <c r="G67" s="9">
        <v>14</v>
      </c>
      <c r="H67" s="8" t="s">
        <v>19</v>
      </c>
      <c r="I67" s="3"/>
    </row>
    <row r="68" spans="1:9" ht="15.75" thickBot="1" x14ac:dyDescent="0.3">
      <c r="A68" s="4" t="s">
        <v>8</v>
      </c>
      <c r="B68" s="5" t="s">
        <v>85</v>
      </c>
      <c r="C68" s="5" t="s">
        <v>66</v>
      </c>
      <c r="D68" s="5" t="s">
        <v>43</v>
      </c>
      <c r="E68" s="5" t="s">
        <v>24</v>
      </c>
      <c r="F68" s="5" t="s">
        <v>33</v>
      </c>
      <c r="G68" s="6">
        <v>14</v>
      </c>
      <c r="H68" s="5" t="s">
        <v>50</v>
      </c>
      <c r="I68" s="3"/>
    </row>
    <row r="69" spans="1:9" ht="15.75" thickBot="1" x14ac:dyDescent="0.3">
      <c r="A69" s="10">
        <v>46174</v>
      </c>
      <c r="B69" s="8" t="s">
        <v>55</v>
      </c>
      <c r="C69" s="8" t="s">
        <v>22</v>
      </c>
      <c r="D69" s="8" t="s">
        <v>17</v>
      </c>
      <c r="E69" s="8" t="s">
        <v>24</v>
      </c>
      <c r="F69" s="8" t="s">
        <v>73</v>
      </c>
      <c r="G69" s="9">
        <v>8</v>
      </c>
      <c r="H69" s="8" t="s">
        <v>50</v>
      </c>
      <c r="I69" s="3"/>
    </row>
    <row r="70" spans="1:9" ht="15.75" thickBot="1" x14ac:dyDescent="0.3">
      <c r="A70" s="11">
        <v>46179</v>
      </c>
      <c r="B70" s="5" t="s">
        <v>97</v>
      </c>
      <c r="C70" s="5" t="s">
        <v>22</v>
      </c>
      <c r="D70" s="5" t="s">
        <v>17</v>
      </c>
      <c r="E70" s="5" t="s">
        <v>32</v>
      </c>
      <c r="F70" s="5" t="s">
        <v>64</v>
      </c>
      <c r="G70" s="6">
        <v>7</v>
      </c>
      <c r="H70" s="5" t="s">
        <v>14</v>
      </c>
      <c r="I70" s="3"/>
    </row>
    <row r="71" spans="1:9" ht="15.75" thickBot="1" x14ac:dyDescent="0.3">
      <c r="A71" s="10">
        <v>46271</v>
      </c>
      <c r="B71" s="8" t="s">
        <v>88</v>
      </c>
      <c r="C71" s="8" t="s">
        <v>94</v>
      </c>
      <c r="D71" s="8" t="s">
        <v>23</v>
      </c>
      <c r="E71" s="8" t="s">
        <v>24</v>
      </c>
      <c r="F71" s="8" t="s">
        <v>64</v>
      </c>
      <c r="G71" s="9">
        <v>7</v>
      </c>
      <c r="H71" s="8" t="s">
        <v>50</v>
      </c>
      <c r="I71" s="3"/>
    </row>
    <row r="72" spans="1:9" ht="15.75" thickBot="1" x14ac:dyDescent="0.3">
      <c r="A72" s="11">
        <v>46115</v>
      </c>
      <c r="B72" s="5" t="s">
        <v>9</v>
      </c>
      <c r="C72" s="5" t="s">
        <v>10</v>
      </c>
      <c r="D72" s="5" t="s">
        <v>23</v>
      </c>
      <c r="E72" s="5" t="s">
        <v>44</v>
      </c>
      <c r="F72" s="5" t="s">
        <v>38</v>
      </c>
      <c r="G72" s="6">
        <v>8</v>
      </c>
      <c r="H72" s="5" t="s">
        <v>42</v>
      </c>
      <c r="I72" s="3"/>
    </row>
    <row r="73" spans="1:9" ht="15.75" thickBot="1" x14ac:dyDescent="0.3">
      <c r="A73" s="10">
        <v>46302</v>
      </c>
      <c r="B73" s="8" t="s">
        <v>61</v>
      </c>
      <c r="C73" s="8" t="s">
        <v>62</v>
      </c>
      <c r="D73" s="8" t="s">
        <v>23</v>
      </c>
      <c r="E73" s="8" t="s">
        <v>52</v>
      </c>
      <c r="F73" s="8" t="s">
        <v>33</v>
      </c>
      <c r="G73" s="9">
        <v>9</v>
      </c>
      <c r="H73" s="8" t="s">
        <v>50</v>
      </c>
      <c r="I73" s="3"/>
    </row>
    <row r="74" spans="1:9" ht="15.75" thickBot="1" x14ac:dyDescent="0.3">
      <c r="A74" s="11">
        <v>46237</v>
      </c>
      <c r="B74" s="5" t="s">
        <v>26</v>
      </c>
      <c r="C74" s="5" t="s">
        <v>22</v>
      </c>
      <c r="D74" s="5" t="s">
        <v>43</v>
      </c>
      <c r="E74" s="5" t="s">
        <v>63</v>
      </c>
      <c r="F74" s="5" t="s">
        <v>33</v>
      </c>
      <c r="G74" s="6">
        <v>5</v>
      </c>
      <c r="H74" s="5" t="s">
        <v>19</v>
      </c>
      <c r="I74" s="3"/>
    </row>
    <row r="75" spans="1:9" ht="15.75" thickBot="1" x14ac:dyDescent="0.3">
      <c r="A75" s="10">
        <v>46028</v>
      </c>
      <c r="B75" s="8" t="s">
        <v>26</v>
      </c>
      <c r="C75" s="8" t="s">
        <v>46</v>
      </c>
      <c r="D75" s="8" t="s">
        <v>36</v>
      </c>
      <c r="E75" s="8" t="s">
        <v>76</v>
      </c>
      <c r="F75" s="8" t="s">
        <v>64</v>
      </c>
      <c r="G75" s="9">
        <v>9</v>
      </c>
      <c r="H75" s="8" t="s">
        <v>42</v>
      </c>
      <c r="I75" s="3"/>
    </row>
    <row r="76" spans="1:9" ht="15.75" thickBot="1" x14ac:dyDescent="0.3">
      <c r="A76" s="4" t="s">
        <v>116</v>
      </c>
      <c r="B76" s="5" t="s">
        <v>72</v>
      </c>
      <c r="C76" s="5" t="s">
        <v>31</v>
      </c>
      <c r="D76" s="5" t="s">
        <v>43</v>
      </c>
      <c r="E76" s="5" t="s">
        <v>32</v>
      </c>
      <c r="F76" s="5" t="s">
        <v>56</v>
      </c>
      <c r="G76" s="6">
        <v>7</v>
      </c>
      <c r="H76" s="5" t="s">
        <v>19</v>
      </c>
      <c r="I76" s="3"/>
    </row>
    <row r="77" spans="1:9" ht="15.75" thickBot="1" x14ac:dyDescent="0.3">
      <c r="A77" s="10">
        <v>46178</v>
      </c>
      <c r="B77" s="8" t="s">
        <v>72</v>
      </c>
      <c r="C77" s="8" t="s">
        <v>46</v>
      </c>
      <c r="D77" s="8" t="s">
        <v>23</v>
      </c>
      <c r="E77" s="8" t="s">
        <v>24</v>
      </c>
      <c r="F77" s="8" t="s">
        <v>13</v>
      </c>
      <c r="G77" s="9">
        <v>13</v>
      </c>
      <c r="H77" s="8" t="s">
        <v>42</v>
      </c>
      <c r="I77" s="3"/>
    </row>
    <row r="78" spans="1:9" ht="15.75" thickBot="1" x14ac:dyDescent="0.3">
      <c r="A78" s="11">
        <v>46144</v>
      </c>
      <c r="B78" s="5" t="s">
        <v>101</v>
      </c>
      <c r="C78" s="5" t="s">
        <v>46</v>
      </c>
      <c r="D78" s="5" t="s">
        <v>36</v>
      </c>
      <c r="E78" s="5" t="s">
        <v>59</v>
      </c>
      <c r="F78" s="5" t="s">
        <v>38</v>
      </c>
      <c r="G78" s="6">
        <v>8</v>
      </c>
      <c r="H78" s="5" t="s">
        <v>19</v>
      </c>
      <c r="I78" s="3"/>
    </row>
    <row r="79" spans="1:9" ht="15.75" thickBot="1" x14ac:dyDescent="0.3">
      <c r="A79" s="10">
        <v>46084</v>
      </c>
      <c r="B79" s="8" t="s">
        <v>69</v>
      </c>
      <c r="C79" s="8" t="s">
        <v>31</v>
      </c>
      <c r="D79" s="8" t="s">
        <v>43</v>
      </c>
      <c r="E79" s="8" t="s">
        <v>44</v>
      </c>
      <c r="F79" s="8" t="s">
        <v>64</v>
      </c>
      <c r="G79" s="9">
        <v>11</v>
      </c>
      <c r="H79" s="8" t="s">
        <v>50</v>
      </c>
      <c r="I79" s="3"/>
    </row>
    <row r="80" spans="1:9" ht="15.75" thickBot="1" x14ac:dyDescent="0.3">
      <c r="A80" s="4" t="s">
        <v>117</v>
      </c>
      <c r="B80" s="5" t="s">
        <v>55</v>
      </c>
      <c r="C80" s="5" t="s">
        <v>10</v>
      </c>
      <c r="D80" s="5" t="s">
        <v>23</v>
      </c>
      <c r="E80" s="5" t="s">
        <v>32</v>
      </c>
      <c r="F80" s="5" t="s">
        <v>47</v>
      </c>
      <c r="G80" s="6">
        <v>11</v>
      </c>
      <c r="H80" s="5" t="s">
        <v>19</v>
      </c>
      <c r="I80" s="3"/>
    </row>
    <row r="81" spans="1:9" ht="15.75" thickBot="1" x14ac:dyDescent="0.3">
      <c r="A81" s="7" t="s">
        <v>87</v>
      </c>
      <c r="B81" s="8" t="s">
        <v>118</v>
      </c>
      <c r="C81" s="8" t="s">
        <v>46</v>
      </c>
      <c r="D81" s="8" t="s">
        <v>17</v>
      </c>
      <c r="E81" s="8" t="s">
        <v>115</v>
      </c>
      <c r="F81" s="8" t="s">
        <v>103</v>
      </c>
      <c r="G81" s="9">
        <v>15</v>
      </c>
      <c r="H81" s="8" t="s">
        <v>19</v>
      </c>
      <c r="I81" s="3"/>
    </row>
    <row r="82" spans="1:9" ht="15.75" thickBot="1" x14ac:dyDescent="0.3">
      <c r="A82" s="11">
        <v>46268</v>
      </c>
      <c r="B82" s="5" t="s">
        <v>34</v>
      </c>
      <c r="C82" s="5" t="s">
        <v>31</v>
      </c>
      <c r="D82" s="5" t="s">
        <v>43</v>
      </c>
      <c r="E82" s="5" t="s">
        <v>63</v>
      </c>
      <c r="F82" s="5" t="s">
        <v>73</v>
      </c>
      <c r="G82" s="6">
        <v>10</v>
      </c>
      <c r="H82" s="5" t="s">
        <v>14</v>
      </c>
      <c r="I82" s="3"/>
    </row>
    <row r="83" spans="1:9" ht="15.75" thickBot="1" x14ac:dyDescent="0.3">
      <c r="A83" s="10">
        <v>46146</v>
      </c>
      <c r="B83" s="8" t="s">
        <v>26</v>
      </c>
      <c r="C83" s="8" t="s">
        <v>35</v>
      </c>
      <c r="D83" s="8" t="s">
        <v>43</v>
      </c>
      <c r="E83" s="8" t="s">
        <v>59</v>
      </c>
      <c r="F83" s="8" t="s">
        <v>49</v>
      </c>
      <c r="G83" s="9">
        <v>4</v>
      </c>
      <c r="H83" s="8" t="s">
        <v>14</v>
      </c>
      <c r="I83" s="3"/>
    </row>
    <row r="84" spans="1:9" ht="15.75" thickBot="1" x14ac:dyDescent="0.3">
      <c r="A84" s="4" t="s">
        <v>54</v>
      </c>
      <c r="B84" s="5" t="s">
        <v>30</v>
      </c>
      <c r="C84" s="5" t="s">
        <v>62</v>
      </c>
      <c r="D84" s="5" t="s">
        <v>23</v>
      </c>
      <c r="E84" s="5" t="s">
        <v>76</v>
      </c>
      <c r="F84" s="5" t="s">
        <v>53</v>
      </c>
      <c r="G84" s="6">
        <v>7</v>
      </c>
      <c r="H84" s="5" t="s">
        <v>50</v>
      </c>
      <c r="I84" s="3"/>
    </row>
    <row r="85" spans="1:9" ht="15.75" thickBot="1" x14ac:dyDescent="0.3">
      <c r="A85" s="7" t="s">
        <v>119</v>
      </c>
      <c r="B85" s="8" t="s">
        <v>21</v>
      </c>
      <c r="C85" s="8" t="s">
        <v>27</v>
      </c>
      <c r="D85" s="8" t="s">
        <v>36</v>
      </c>
      <c r="E85" s="8" t="s">
        <v>78</v>
      </c>
      <c r="F85" s="8" t="s">
        <v>86</v>
      </c>
      <c r="G85" s="9">
        <v>7</v>
      </c>
      <c r="H85" s="8" t="s">
        <v>42</v>
      </c>
      <c r="I85" s="3"/>
    </row>
    <row r="86" spans="1:9" ht="15.75" thickBot="1" x14ac:dyDescent="0.3">
      <c r="A86" s="4" t="s">
        <v>120</v>
      </c>
      <c r="B86" s="5" t="s">
        <v>80</v>
      </c>
      <c r="C86" s="5" t="s">
        <v>10</v>
      </c>
      <c r="D86" s="5" t="s">
        <v>23</v>
      </c>
      <c r="E86" s="5" t="s">
        <v>59</v>
      </c>
      <c r="F86" s="5" t="s">
        <v>25</v>
      </c>
      <c r="G86" s="6">
        <v>13</v>
      </c>
      <c r="H86" s="5" t="s">
        <v>50</v>
      </c>
      <c r="I86" s="3"/>
    </row>
    <row r="87" spans="1:9" ht="15.75" thickBot="1" x14ac:dyDescent="0.3">
      <c r="A87" s="10">
        <v>46058</v>
      </c>
      <c r="B87" s="8" t="s">
        <v>97</v>
      </c>
      <c r="C87" s="8" t="s">
        <v>27</v>
      </c>
      <c r="D87" s="8" t="s">
        <v>23</v>
      </c>
      <c r="E87" s="8" t="s">
        <v>44</v>
      </c>
      <c r="F87" s="8" t="s">
        <v>86</v>
      </c>
      <c r="G87" s="9">
        <v>12</v>
      </c>
      <c r="H87" s="8" t="s">
        <v>14</v>
      </c>
      <c r="I87" s="3"/>
    </row>
    <row r="88" spans="1:9" ht="15.75" thickBot="1" x14ac:dyDescent="0.3">
      <c r="A88" s="11">
        <v>46114</v>
      </c>
      <c r="B88" s="5" t="s">
        <v>30</v>
      </c>
      <c r="C88" s="5" t="s">
        <v>31</v>
      </c>
      <c r="D88" s="5" t="s">
        <v>11</v>
      </c>
      <c r="E88" s="5" t="s">
        <v>115</v>
      </c>
      <c r="F88" s="5" t="s">
        <v>13</v>
      </c>
      <c r="G88" s="6">
        <v>14</v>
      </c>
      <c r="H88" s="5" t="s">
        <v>42</v>
      </c>
      <c r="I88" s="3"/>
    </row>
    <row r="89" spans="1:9" ht="15.75" thickBot="1" x14ac:dyDescent="0.3">
      <c r="A89" s="7" t="s">
        <v>121</v>
      </c>
      <c r="B89" s="8" t="s">
        <v>57</v>
      </c>
      <c r="C89" s="8" t="s">
        <v>10</v>
      </c>
      <c r="D89" s="8" t="s">
        <v>43</v>
      </c>
      <c r="E89" s="8" t="s">
        <v>24</v>
      </c>
      <c r="F89" s="8" t="s">
        <v>86</v>
      </c>
      <c r="G89" s="9">
        <v>8</v>
      </c>
      <c r="H89" s="8" t="s">
        <v>42</v>
      </c>
      <c r="I89" s="3"/>
    </row>
    <row r="90" spans="1:9" ht="15.75" thickBot="1" x14ac:dyDescent="0.3">
      <c r="A90" s="4" t="s">
        <v>122</v>
      </c>
      <c r="B90" s="5" t="s">
        <v>26</v>
      </c>
      <c r="C90" s="5" t="s">
        <v>46</v>
      </c>
      <c r="D90" s="5" t="s">
        <v>23</v>
      </c>
      <c r="E90" s="5" t="s">
        <v>32</v>
      </c>
      <c r="F90" s="5" t="s">
        <v>49</v>
      </c>
      <c r="G90" s="6">
        <v>3</v>
      </c>
      <c r="H90" s="5" t="s">
        <v>14</v>
      </c>
      <c r="I90" s="3"/>
    </row>
    <row r="91" spans="1:9" ht="15.75" thickBot="1" x14ac:dyDescent="0.3">
      <c r="A91" s="10">
        <v>46268</v>
      </c>
      <c r="B91" s="8" t="s">
        <v>21</v>
      </c>
      <c r="C91" s="8" t="s">
        <v>27</v>
      </c>
      <c r="D91" s="8" t="s">
        <v>17</v>
      </c>
      <c r="E91" s="8" t="s">
        <v>67</v>
      </c>
      <c r="F91" s="8" t="s">
        <v>38</v>
      </c>
      <c r="G91" s="9">
        <v>8</v>
      </c>
      <c r="H91" s="8" t="s">
        <v>19</v>
      </c>
      <c r="I91" s="3"/>
    </row>
    <row r="92" spans="1:9" ht="15.75" thickBot="1" x14ac:dyDescent="0.3">
      <c r="A92" s="4" t="s">
        <v>89</v>
      </c>
      <c r="B92" s="5" t="s">
        <v>118</v>
      </c>
      <c r="C92" s="5" t="s">
        <v>35</v>
      </c>
      <c r="D92" s="5" t="s">
        <v>23</v>
      </c>
      <c r="E92" s="5" t="s">
        <v>83</v>
      </c>
      <c r="F92" s="5" t="s">
        <v>38</v>
      </c>
      <c r="G92" s="6">
        <v>14</v>
      </c>
      <c r="H92" s="5" t="s">
        <v>14</v>
      </c>
      <c r="I92" s="3"/>
    </row>
    <row r="93" spans="1:9" ht="15.75" thickBot="1" x14ac:dyDescent="0.3">
      <c r="A93" s="10">
        <v>46029</v>
      </c>
      <c r="B93" s="8" t="s">
        <v>55</v>
      </c>
      <c r="C93" s="8" t="s">
        <v>46</v>
      </c>
      <c r="D93" s="8" t="s">
        <v>23</v>
      </c>
      <c r="E93" s="8" t="s">
        <v>76</v>
      </c>
      <c r="F93" s="8" t="s">
        <v>25</v>
      </c>
      <c r="G93" s="9">
        <v>7</v>
      </c>
      <c r="H93" s="8" t="s">
        <v>50</v>
      </c>
      <c r="I93" s="3"/>
    </row>
    <row r="94" spans="1:9" ht="15.75" thickBot="1" x14ac:dyDescent="0.3">
      <c r="A94" s="11">
        <v>46364</v>
      </c>
      <c r="B94" s="5" t="s">
        <v>101</v>
      </c>
      <c r="C94" s="5" t="s">
        <v>111</v>
      </c>
      <c r="D94" s="5" t="s">
        <v>43</v>
      </c>
      <c r="E94" s="5" t="s">
        <v>32</v>
      </c>
      <c r="F94" s="5" t="s">
        <v>33</v>
      </c>
      <c r="G94" s="6">
        <v>5</v>
      </c>
      <c r="H94" s="5" t="s">
        <v>42</v>
      </c>
      <c r="I94" s="3"/>
    </row>
    <row r="95" spans="1:9" ht="15.75" thickBot="1" x14ac:dyDescent="0.3">
      <c r="A95" s="10">
        <v>46327</v>
      </c>
      <c r="B95" s="8" t="s">
        <v>72</v>
      </c>
      <c r="C95" s="8" t="s">
        <v>10</v>
      </c>
      <c r="D95" s="8" t="s">
        <v>23</v>
      </c>
      <c r="E95" s="8" t="s">
        <v>76</v>
      </c>
      <c r="F95" s="8" t="s">
        <v>25</v>
      </c>
      <c r="G95" s="9">
        <v>14</v>
      </c>
      <c r="H95" s="8" t="s">
        <v>42</v>
      </c>
      <c r="I95" s="3"/>
    </row>
    <row r="96" spans="1:9" ht="15.75" thickBot="1" x14ac:dyDescent="0.3">
      <c r="A96" s="4" t="s">
        <v>123</v>
      </c>
      <c r="B96" s="5" t="s">
        <v>92</v>
      </c>
      <c r="C96" s="5" t="s">
        <v>90</v>
      </c>
      <c r="D96" s="5" t="s">
        <v>11</v>
      </c>
      <c r="E96" s="5" t="s">
        <v>52</v>
      </c>
      <c r="F96" s="5" t="s">
        <v>41</v>
      </c>
      <c r="G96" s="6">
        <v>6</v>
      </c>
      <c r="H96" s="5" t="s">
        <v>42</v>
      </c>
      <c r="I96" s="3"/>
    </row>
    <row r="97" spans="1:9" ht="15.75" thickBot="1" x14ac:dyDescent="0.3">
      <c r="A97" s="7" t="s">
        <v>124</v>
      </c>
      <c r="B97" s="8" t="s">
        <v>118</v>
      </c>
      <c r="C97" s="8" t="s">
        <v>70</v>
      </c>
      <c r="D97" s="8" t="s">
        <v>11</v>
      </c>
      <c r="E97" s="8" t="s">
        <v>18</v>
      </c>
      <c r="F97" s="8" t="s">
        <v>25</v>
      </c>
      <c r="G97" s="9">
        <v>7</v>
      </c>
      <c r="H97" s="8" t="s">
        <v>19</v>
      </c>
      <c r="I97" s="3"/>
    </row>
    <row r="98" spans="1:9" ht="15.75" thickBot="1" x14ac:dyDescent="0.3">
      <c r="A98" s="4" t="s">
        <v>125</v>
      </c>
      <c r="B98" s="5" t="s">
        <v>97</v>
      </c>
      <c r="C98" s="5" t="s">
        <v>46</v>
      </c>
      <c r="D98" s="5" t="s">
        <v>23</v>
      </c>
      <c r="E98" s="5" t="s">
        <v>52</v>
      </c>
      <c r="F98" s="5" t="s">
        <v>28</v>
      </c>
      <c r="G98" s="6">
        <v>9</v>
      </c>
      <c r="H98" s="5" t="s">
        <v>14</v>
      </c>
      <c r="I98" s="3"/>
    </row>
    <row r="99" spans="1:9" ht="15.75" thickBot="1" x14ac:dyDescent="0.3">
      <c r="A99" s="10">
        <v>46177</v>
      </c>
      <c r="B99" s="8" t="s">
        <v>9</v>
      </c>
      <c r="C99" s="8" t="s">
        <v>22</v>
      </c>
      <c r="D99" s="8" t="s">
        <v>36</v>
      </c>
      <c r="E99" s="8" t="s">
        <v>67</v>
      </c>
      <c r="F99" s="8" t="s">
        <v>38</v>
      </c>
      <c r="G99" s="9">
        <v>10</v>
      </c>
      <c r="H99" s="8" t="s">
        <v>19</v>
      </c>
      <c r="I99" s="3"/>
    </row>
    <row r="100" spans="1:9" ht="15.75" thickBot="1" x14ac:dyDescent="0.3">
      <c r="A100" s="11">
        <v>46357</v>
      </c>
      <c r="B100" s="5" t="s">
        <v>88</v>
      </c>
      <c r="C100" s="5" t="s">
        <v>62</v>
      </c>
      <c r="D100" s="5" t="s">
        <v>11</v>
      </c>
      <c r="E100" s="5" t="s">
        <v>18</v>
      </c>
      <c r="F100" s="5" t="s">
        <v>73</v>
      </c>
      <c r="G100" s="6">
        <v>6</v>
      </c>
      <c r="H100" s="5" t="s">
        <v>19</v>
      </c>
      <c r="I100" s="3"/>
    </row>
    <row r="101" spans="1:9" ht="15.75" thickBot="1" x14ac:dyDescent="0.3">
      <c r="A101" s="7" t="s">
        <v>114</v>
      </c>
      <c r="B101" s="8" t="s">
        <v>72</v>
      </c>
      <c r="C101" s="8" t="s">
        <v>94</v>
      </c>
      <c r="D101" s="8" t="s">
        <v>43</v>
      </c>
      <c r="E101" s="8" t="s">
        <v>24</v>
      </c>
      <c r="F101" s="8" t="s">
        <v>33</v>
      </c>
      <c r="G101" s="9">
        <v>12</v>
      </c>
      <c r="H101" s="8" t="s">
        <v>19</v>
      </c>
      <c r="I101" s="3"/>
    </row>
    <row r="102" spans="1:9" ht="15.75" thickBot="1" x14ac:dyDescent="0.3">
      <c r="A102" s="4" t="s">
        <v>126</v>
      </c>
      <c r="B102" s="5" t="s">
        <v>26</v>
      </c>
      <c r="C102" s="5" t="s">
        <v>31</v>
      </c>
      <c r="D102" s="5" t="s">
        <v>43</v>
      </c>
      <c r="E102" s="5" t="s">
        <v>59</v>
      </c>
      <c r="F102" s="5" t="s">
        <v>53</v>
      </c>
      <c r="G102" s="6">
        <v>4</v>
      </c>
      <c r="H102" s="5" t="s">
        <v>14</v>
      </c>
      <c r="I102" s="3"/>
    </row>
    <row r="103" spans="1:9" ht="15.75" thickBot="1" x14ac:dyDescent="0.3">
      <c r="A103" s="7" t="s">
        <v>127</v>
      </c>
      <c r="B103" s="8" t="s">
        <v>85</v>
      </c>
      <c r="C103" s="8" t="s">
        <v>10</v>
      </c>
      <c r="D103" s="8" t="s">
        <v>17</v>
      </c>
      <c r="E103" s="8" t="s">
        <v>63</v>
      </c>
      <c r="F103" s="8" t="s">
        <v>38</v>
      </c>
      <c r="G103" s="9">
        <v>8</v>
      </c>
      <c r="H103" s="8" t="s">
        <v>50</v>
      </c>
      <c r="I103" s="3"/>
    </row>
    <row r="104" spans="1:9" ht="15.75" thickBot="1" x14ac:dyDescent="0.3">
      <c r="A104" s="4" t="s">
        <v>128</v>
      </c>
      <c r="B104" s="5" t="s">
        <v>69</v>
      </c>
      <c r="C104" s="5" t="s">
        <v>22</v>
      </c>
      <c r="D104" s="5" t="s">
        <v>36</v>
      </c>
      <c r="E104" s="5" t="s">
        <v>32</v>
      </c>
      <c r="F104" s="5" t="s">
        <v>13</v>
      </c>
      <c r="G104" s="6">
        <v>8</v>
      </c>
      <c r="H104" s="5" t="s">
        <v>42</v>
      </c>
      <c r="I104" s="3"/>
    </row>
    <row r="105" spans="1:9" ht="15.75" thickBot="1" x14ac:dyDescent="0.3">
      <c r="A105" s="7" t="s">
        <v>120</v>
      </c>
      <c r="B105" s="8" t="s">
        <v>92</v>
      </c>
      <c r="C105" s="8" t="s">
        <v>35</v>
      </c>
      <c r="D105" s="8" t="s">
        <v>43</v>
      </c>
      <c r="E105" s="8" t="s">
        <v>59</v>
      </c>
      <c r="F105" s="8" t="s">
        <v>33</v>
      </c>
      <c r="G105" s="9">
        <v>6</v>
      </c>
      <c r="H105" s="8" t="s">
        <v>19</v>
      </c>
      <c r="I105" s="3"/>
    </row>
    <row r="106" spans="1:9" ht="15.75" thickBot="1" x14ac:dyDescent="0.3">
      <c r="A106" s="11">
        <v>46362</v>
      </c>
      <c r="B106" s="5" t="s">
        <v>85</v>
      </c>
      <c r="C106" s="5" t="s">
        <v>94</v>
      </c>
      <c r="D106" s="5" t="s">
        <v>17</v>
      </c>
      <c r="E106" s="5" t="s">
        <v>44</v>
      </c>
      <c r="F106" s="5" t="s">
        <v>13</v>
      </c>
      <c r="G106" s="6">
        <v>9</v>
      </c>
      <c r="H106" s="5" t="s">
        <v>19</v>
      </c>
      <c r="I106" s="3"/>
    </row>
    <row r="107" spans="1:9" ht="15.75" thickBot="1" x14ac:dyDescent="0.3">
      <c r="A107" s="10">
        <v>46181</v>
      </c>
      <c r="B107" s="8" t="s">
        <v>80</v>
      </c>
      <c r="C107" s="8" t="s">
        <v>62</v>
      </c>
      <c r="D107" s="8" t="s">
        <v>43</v>
      </c>
      <c r="E107" s="8" t="s">
        <v>83</v>
      </c>
      <c r="F107" s="8" t="s">
        <v>33</v>
      </c>
      <c r="G107" s="9">
        <v>2</v>
      </c>
      <c r="H107" s="8" t="s">
        <v>50</v>
      </c>
      <c r="I107" s="3"/>
    </row>
    <row r="108" spans="1:9" ht="15.75" thickBot="1" x14ac:dyDescent="0.3">
      <c r="A108" s="4" t="s">
        <v>128</v>
      </c>
      <c r="B108" s="5" t="s">
        <v>88</v>
      </c>
      <c r="C108" s="5" t="s">
        <v>10</v>
      </c>
      <c r="D108" s="5" t="s">
        <v>43</v>
      </c>
      <c r="E108" s="5" t="s">
        <v>59</v>
      </c>
      <c r="F108" s="5" t="s">
        <v>47</v>
      </c>
      <c r="G108" s="6">
        <v>4</v>
      </c>
      <c r="H108" s="5" t="s">
        <v>42</v>
      </c>
      <c r="I108" s="3"/>
    </row>
    <row r="109" spans="1:9" ht="15.75" thickBot="1" x14ac:dyDescent="0.3">
      <c r="A109" s="10">
        <v>46058</v>
      </c>
      <c r="B109" s="8" t="s">
        <v>9</v>
      </c>
      <c r="C109" s="8" t="s">
        <v>10</v>
      </c>
      <c r="D109" s="8" t="s">
        <v>11</v>
      </c>
      <c r="E109" s="8" t="s">
        <v>59</v>
      </c>
      <c r="F109" s="8" t="s">
        <v>33</v>
      </c>
      <c r="G109" s="9">
        <v>15</v>
      </c>
      <c r="H109" s="8" t="s">
        <v>42</v>
      </c>
      <c r="I109" s="3"/>
    </row>
    <row r="110" spans="1:9" ht="15.75" thickBot="1" x14ac:dyDescent="0.3">
      <c r="A110" s="4" t="s">
        <v>29</v>
      </c>
      <c r="B110" s="5" t="s">
        <v>80</v>
      </c>
      <c r="C110" s="5" t="s">
        <v>35</v>
      </c>
      <c r="D110" s="5" t="s">
        <v>11</v>
      </c>
      <c r="E110" s="5" t="s">
        <v>83</v>
      </c>
      <c r="F110" s="5" t="s">
        <v>41</v>
      </c>
      <c r="G110" s="6">
        <v>15</v>
      </c>
      <c r="H110" s="5" t="s">
        <v>14</v>
      </c>
      <c r="I110" s="3"/>
    </row>
    <row r="111" spans="1:9" ht="15.75" thickBot="1" x14ac:dyDescent="0.3">
      <c r="A111" s="7" t="s">
        <v>129</v>
      </c>
      <c r="B111" s="8" t="s">
        <v>61</v>
      </c>
      <c r="C111" s="8" t="s">
        <v>46</v>
      </c>
      <c r="D111" s="8" t="s">
        <v>23</v>
      </c>
      <c r="E111" s="8" t="s">
        <v>52</v>
      </c>
      <c r="F111" s="8" t="s">
        <v>64</v>
      </c>
      <c r="G111" s="9">
        <v>8</v>
      </c>
      <c r="H111" s="8" t="s">
        <v>19</v>
      </c>
      <c r="I111" s="3"/>
    </row>
    <row r="112" spans="1:9" ht="15.75" thickBot="1" x14ac:dyDescent="0.3">
      <c r="A112" s="4" t="s">
        <v>130</v>
      </c>
      <c r="B112" s="5" t="s">
        <v>74</v>
      </c>
      <c r="C112" s="5" t="s">
        <v>70</v>
      </c>
      <c r="D112" s="5" t="s">
        <v>43</v>
      </c>
      <c r="E112" s="5" t="s">
        <v>37</v>
      </c>
      <c r="F112" s="5" t="s">
        <v>33</v>
      </c>
      <c r="G112" s="6">
        <v>7</v>
      </c>
      <c r="H112" s="5" t="s">
        <v>19</v>
      </c>
      <c r="I112" s="3"/>
    </row>
    <row r="113" spans="1:9" ht="15.75" thickBot="1" x14ac:dyDescent="0.3">
      <c r="A113" s="7" t="s">
        <v>131</v>
      </c>
      <c r="B113" s="8" t="s">
        <v>118</v>
      </c>
      <c r="C113" s="8" t="s">
        <v>62</v>
      </c>
      <c r="D113" s="8" t="s">
        <v>11</v>
      </c>
      <c r="E113" s="8" t="s">
        <v>52</v>
      </c>
      <c r="F113" s="8" t="s">
        <v>49</v>
      </c>
      <c r="G113" s="9">
        <v>8</v>
      </c>
      <c r="H113" s="8" t="s">
        <v>14</v>
      </c>
      <c r="I113" s="3"/>
    </row>
    <row r="114" spans="1:9" ht="15.75" thickBot="1" x14ac:dyDescent="0.3">
      <c r="A114" s="4" t="s">
        <v>20</v>
      </c>
      <c r="B114" s="5" t="s">
        <v>74</v>
      </c>
      <c r="C114" s="5" t="s">
        <v>22</v>
      </c>
      <c r="D114" s="5" t="s">
        <v>11</v>
      </c>
      <c r="E114" s="5" t="s">
        <v>67</v>
      </c>
      <c r="F114" s="5" t="s">
        <v>38</v>
      </c>
      <c r="G114" s="6">
        <v>13</v>
      </c>
      <c r="H114" s="5" t="s">
        <v>42</v>
      </c>
      <c r="I114" s="3"/>
    </row>
    <row r="115" spans="1:9" ht="15.75" thickBot="1" x14ac:dyDescent="0.3">
      <c r="A115" s="7" t="s">
        <v>113</v>
      </c>
      <c r="B115" s="8" t="s">
        <v>48</v>
      </c>
      <c r="C115" s="8" t="s">
        <v>22</v>
      </c>
      <c r="D115" s="8" t="s">
        <v>23</v>
      </c>
      <c r="E115" s="8" t="s">
        <v>18</v>
      </c>
      <c r="F115" s="8" t="s">
        <v>33</v>
      </c>
      <c r="G115" s="9">
        <v>14</v>
      </c>
      <c r="H115" s="8" t="s">
        <v>14</v>
      </c>
      <c r="I115" s="3"/>
    </row>
    <row r="116" spans="1:9" ht="15.75" thickBot="1" x14ac:dyDescent="0.3">
      <c r="A116" s="11">
        <v>46361</v>
      </c>
      <c r="B116" s="5" t="s">
        <v>74</v>
      </c>
      <c r="C116" s="5" t="s">
        <v>22</v>
      </c>
      <c r="D116" s="5" t="s">
        <v>23</v>
      </c>
      <c r="E116" s="5" t="s">
        <v>24</v>
      </c>
      <c r="F116" s="5" t="s">
        <v>103</v>
      </c>
      <c r="G116" s="6">
        <v>12</v>
      </c>
      <c r="H116" s="5" t="s">
        <v>42</v>
      </c>
      <c r="I116" s="3"/>
    </row>
    <row r="117" spans="1:9" ht="15.75" thickBot="1" x14ac:dyDescent="0.3">
      <c r="A117" s="7" t="s">
        <v>132</v>
      </c>
      <c r="B117" s="8" t="s">
        <v>107</v>
      </c>
      <c r="C117" s="8" t="s">
        <v>66</v>
      </c>
      <c r="D117" s="8" t="s">
        <v>23</v>
      </c>
      <c r="E117" s="8" t="s">
        <v>32</v>
      </c>
      <c r="F117" s="8" t="s">
        <v>53</v>
      </c>
      <c r="G117" s="9">
        <v>10</v>
      </c>
      <c r="H117" s="8" t="s">
        <v>19</v>
      </c>
      <c r="I117" s="3"/>
    </row>
    <row r="118" spans="1:9" ht="15.75" thickBot="1" x14ac:dyDescent="0.3">
      <c r="A118" s="11">
        <v>46117</v>
      </c>
      <c r="B118" s="5" t="s">
        <v>88</v>
      </c>
      <c r="C118" s="5" t="s">
        <v>46</v>
      </c>
      <c r="D118" s="5" t="s">
        <v>36</v>
      </c>
      <c r="E118" s="5" t="s">
        <v>32</v>
      </c>
      <c r="F118" s="5" t="s">
        <v>64</v>
      </c>
      <c r="G118" s="6">
        <v>6</v>
      </c>
      <c r="H118" s="5" t="s">
        <v>19</v>
      </c>
      <c r="I118" s="3"/>
    </row>
    <row r="119" spans="1:9" ht="15.75" thickBot="1" x14ac:dyDescent="0.3">
      <c r="A119" s="7" t="s">
        <v>114</v>
      </c>
      <c r="B119" s="8" t="s">
        <v>9</v>
      </c>
      <c r="C119" s="8" t="s">
        <v>66</v>
      </c>
      <c r="D119" s="8" t="s">
        <v>43</v>
      </c>
      <c r="E119" s="8" t="s">
        <v>63</v>
      </c>
      <c r="F119" s="8" t="s">
        <v>13</v>
      </c>
      <c r="G119" s="9">
        <v>13</v>
      </c>
      <c r="H119" s="8" t="s">
        <v>19</v>
      </c>
      <c r="I119" s="3"/>
    </row>
    <row r="120" spans="1:9" ht="15.75" thickBot="1" x14ac:dyDescent="0.3">
      <c r="A120" s="4" t="s">
        <v>126</v>
      </c>
      <c r="B120" s="5" t="s">
        <v>21</v>
      </c>
      <c r="C120" s="5" t="s">
        <v>22</v>
      </c>
      <c r="D120" s="5" t="s">
        <v>23</v>
      </c>
      <c r="E120" s="5" t="s">
        <v>32</v>
      </c>
      <c r="F120" s="5" t="s">
        <v>25</v>
      </c>
      <c r="G120" s="6">
        <v>4</v>
      </c>
      <c r="H120" s="5" t="s">
        <v>50</v>
      </c>
      <c r="I120" s="3"/>
    </row>
    <row r="121" spans="1:9" ht="15.75" thickBot="1" x14ac:dyDescent="0.3">
      <c r="A121" s="7" t="s">
        <v>68</v>
      </c>
      <c r="B121" s="8" t="s">
        <v>80</v>
      </c>
      <c r="C121" s="8" t="s">
        <v>10</v>
      </c>
      <c r="D121" s="8" t="s">
        <v>17</v>
      </c>
      <c r="E121" s="8" t="s">
        <v>32</v>
      </c>
      <c r="F121" s="8" t="s">
        <v>33</v>
      </c>
      <c r="G121" s="9">
        <v>12</v>
      </c>
      <c r="H121" s="8" t="s">
        <v>14</v>
      </c>
      <c r="I121" s="3"/>
    </row>
    <row r="122" spans="1:9" ht="15.75" thickBot="1" x14ac:dyDescent="0.3">
      <c r="A122" s="4" t="s">
        <v>133</v>
      </c>
      <c r="B122" s="5" t="s">
        <v>74</v>
      </c>
      <c r="C122" s="5" t="s">
        <v>10</v>
      </c>
      <c r="D122" s="5" t="s">
        <v>23</v>
      </c>
      <c r="E122" s="5" t="s">
        <v>83</v>
      </c>
      <c r="F122" s="5" t="s">
        <v>41</v>
      </c>
      <c r="G122" s="6">
        <v>5</v>
      </c>
      <c r="H122" s="5" t="s">
        <v>50</v>
      </c>
      <c r="I122" s="3"/>
    </row>
    <row r="123" spans="1:9" ht="15.75" thickBot="1" x14ac:dyDescent="0.3">
      <c r="A123" s="7" t="s">
        <v>134</v>
      </c>
      <c r="B123" s="8" t="s">
        <v>16</v>
      </c>
      <c r="C123" s="8" t="s">
        <v>111</v>
      </c>
      <c r="D123" s="8" t="s">
        <v>11</v>
      </c>
      <c r="E123" s="8" t="s">
        <v>12</v>
      </c>
      <c r="F123" s="8" t="s">
        <v>49</v>
      </c>
      <c r="G123" s="9">
        <v>7</v>
      </c>
      <c r="H123" s="8" t="s">
        <v>14</v>
      </c>
      <c r="I123" s="3"/>
    </row>
    <row r="124" spans="1:9" ht="15.75" thickBot="1" x14ac:dyDescent="0.3">
      <c r="A124" s="4" t="s">
        <v>135</v>
      </c>
      <c r="B124" s="5" t="s">
        <v>97</v>
      </c>
      <c r="C124" s="5" t="s">
        <v>22</v>
      </c>
      <c r="D124" s="5" t="s">
        <v>43</v>
      </c>
      <c r="E124" s="5" t="s">
        <v>44</v>
      </c>
      <c r="F124" s="5" t="s">
        <v>33</v>
      </c>
      <c r="G124" s="6">
        <v>15</v>
      </c>
      <c r="H124" s="5" t="s">
        <v>14</v>
      </c>
      <c r="I124" s="3"/>
    </row>
    <row r="125" spans="1:9" ht="15.75" thickBot="1" x14ac:dyDescent="0.3">
      <c r="A125" s="10">
        <v>46059</v>
      </c>
      <c r="B125" s="8" t="s">
        <v>57</v>
      </c>
      <c r="C125" s="8" t="s">
        <v>10</v>
      </c>
      <c r="D125" s="8" t="s">
        <v>11</v>
      </c>
      <c r="E125" s="8" t="s">
        <v>32</v>
      </c>
      <c r="F125" s="8" t="s">
        <v>53</v>
      </c>
      <c r="G125" s="9">
        <v>15</v>
      </c>
      <c r="H125" s="8" t="s">
        <v>14</v>
      </c>
      <c r="I125" s="3"/>
    </row>
    <row r="126" spans="1:9" ht="15.75" thickBot="1" x14ac:dyDescent="0.3">
      <c r="A126" s="4" t="s">
        <v>77</v>
      </c>
      <c r="B126" s="5" t="s">
        <v>69</v>
      </c>
      <c r="C126" s="5" t="s">
        <v>10</v>
      </c>
      <c r="D126" s="5" t="s">
        <v>11</v>
      </c>
      <c r="E126" s="5" t="s">
        <v>32</v>
      </c>
      <c r="F126" s="5" t="s">
        <v>64</v>
      </c>
      <c r="G126" s="6">
        <v>5</v>
      </c>
      <c r="H126" s="5" t="s">
        <v>14</v>
      </c>
      <c r="I126" s="3"/>
    </row>
    <row r="127" spans="1:9" ht="15.75" thickBot="1" x14ac:dyDescent="0.3">
      <c r="A127" s="10">
        <v>46060</v>
      </c>
      <c r="B127" s="8" t="s">
        <v>58</v>
      </c>
      <c r="C127" s="8" t="s">
        <v>31</v>
      </c>
      <c r="D127" s="8" t="s">
        <v>36</v>
      </c>
      <c r="E127" s="8" t="s">
        <v>78</v>
      </c>
      <c r="F127" s="8" t="s">
        <v>86</v>
      </c>
      <c r="G127" s="9">
        <v>3</v>
      </c>
      <c r="H127" s="8" t="s">
        <v>42</v>
      </c>
      <c r="I127" s="3"/>
    </row>
    <row r="128" spans="1:9" ht="15.75" thickBot="1" x14ac:dyDescent="0.3">
      <c r="A128" s="11">
        <v>46269</v>
      </c>
      <c r="B128" s="5" t="s">
        <v>48</v>
      </c>
      <c r="C128" s="5" t="s">
        <v>22</v>
      </c>
      <c r="D128" s="5" t="s">
        <v>36</v>
      </c>
      <c r="E128" s="5" t="s">
        <v>12</v>
      </c>
      <c r="F128" s="5" t="s">
        <v>13</v>
      </c>
      <c r="G128" s="6">
        <v>14</v>
      </c>
      <c r="H128" s="5" t="s">
        <v>42</v>
      </c>
      <c r="I128" s="3"/>
    </row>
    <row r="129" spans="1:9" ht="15.75" thickBot="1" x14ac:dyDescent="0.3">
      <c r="A129" s="10">
        <v>46083</v>
      </c>
      <c r="B129" s="8" t="s">
        <v>55</v>
      </c>
      <c r="C129" s="8" t="s">
        <v>22</v>
      </c>
      <c r="D129" s="8" t="s">
        <v>17</v>
      </c>
      <c r="E129" s="8" t="s">
        <v>24</v>
      </c>
      <c r="F129" s="8" t="s">
        <v>56</v>
      </c>
      <c r="G129" s="9">
        <v>7</v>
      </c>
      <c r="H129" s="8" t="s">
        <v>42</v>
      </c>
      <c r="I129" s="3"/>
    </row>
    <row r="130" spans="1:9" ht="15.75" thickBot="1" x14ac:dyDescent="0.3">
      <c r="A130" s="4" t="s">
        <v>136</v>
      </c>
      <c r="B130" s="5" t="s">
        <v>61</v>
      </c>
      <c r="C130" s="5" t="s">
        <v>111</v>
      </c>
      <c r="D130" s="5" t="s">
        <v>43</v>
      </c>
      <c r="E130" s="5" t="s">
        <v>59</v>
      </c>
      <c r="F130" s="5" t="s">
        <v>28</v>
      </c>
      <c r="G130" s="6">
        <v>8</v>
      </c>
      <c r="H130" s="5" t="s">
        <v>42</v>
      </c>
      <c r="I130" s="3"/>
    </row>
    <row r="131" spans="1:9" ht="15.75" thickBot="1" x14ac:dyDescent="0.3">
      <c r="A131" s="10">
        <v>46210</v>
      </c>
      <c r="B131" s="8" t="s">
        <v>80</v>
      </c>
      <c r="C131" s="8" t="s">
        <v>46</v>
      </c>
      <c r="D131" s="8" t="s">
        <v>23</v>
      </c>
      <c r="E131" s="8" t="s">
        <v>83</v>
      </c>
      <c r="F131" s="8" t="s">
        <v>28</v>
      </c>
      <c r="G131" s="9">
        <v>3</v>
      </c>
      <c r="H131" s="8" t="s">
        <v>19</v>
      </c>
      <c r="I131" s="3"/>
    </row>
    <row r="132" spans="1:9" ht="15.75" thickBot="1" x14ac:dyDescent="0.3">
      <c r="A132" s="11">
        <v>46358</v>
      </c>
      <c r="B132" s="5" t="s">
        <v>57</v>
      </c>
      <c r="C132" s="5" t="s">
        <v>22</v>
      </c>
      <c r="D132" s="5" t="s">
        <v>43</v>
      </c>
      <c r="E132" s="5" t="s">
        <v>83</v>
      </c>
      <c r="F132" s="5" t="s">
        <v>103</v>
      </c>
      <c r="G132" s="6">
        <v>10</v>
      </c>
      <c r="H132" s="5" t="s">
        <v>19</v>
      </c>
      <c r="I132" s="3"/>
    </row>
    <row r="133" spans="1:9" ht="15.75" thickBot="1" x14ac:dyDescent="0.3">
      <c r="A133" s="10">
        <v>46082</v>
      </c>
      <c r="B133" s="8" t="s">
        <v>61</v>
      </c>
      <c r="C133" s="8" t="s">
        <v>22</v>
      </c>
      <c r="D133" s="8" t="s">
        <v>11</v>
      </c>
      <c r="E133" s="8" t="s">
        <v>24</v>
      </c>
      <c r="F133" s="8" t="s">
        <v>64</v>
      </c>
      <c r="G133" s="9">
        <v>15</v>
      </c>
      <c r="H133" s="8" t="s">
        <v>50</v>
      </c>
      <c r="I133" s="3"/>
    </row>
    <row r="134" spans="1:9" ht="15.75" thickBot="1" x14ac:dyDescent="0.3">
      <c r="A134" s="4" t="s">
        <v>137</v>
      </c>
      <c r="B134" s="5" t="s">
        <v>101</v>
      </c>
      <c r="C134" s="5" t="s">
        <v>22</v>
      </c>
      <c r="D134" s="5" t="s">
        <v>23</v>
      </c>
      <c r="E134" s="5" t="s">
        <v>138</v>
      </c>
      <c r="F134" s="5" t="s">
        <v>103</v>
      </c>
      <c r="G134" s="6">
        <v>8</v>
      </c>
      <c r="H134" s="5" t="s">
        <v>42</v>
      </c>
      <c r="I134" s="3"/>
    </row>
    <row r="135" spans="1:9" ht="15.75" thickBot="1" x14ac:dyDescent="0.3">
      <c r="A135" s="7" t="s">
        <v>139</v>
      </c>
      <c r="B135" s="8" t="s">
        <v>26</v>
      </c>
      <c r="C135" s="8" t="s">
        <v>70</v>
      </c>
      <c r="D135" s="8" t="s">
        <v>23</v>
      </c>
      <c r="E135" s="8" t="s">
        <v>76</v>
      </c>
      <c r="F135" s="8" t="s">
        <v>49</v>
      </c>
      <c r="G135" s="9">
        <v>9</v>
      </c>
      <c r="H135" s="8" t="s">
        <v>50</v>
      </c>
      <c r="I135" s="3"/>
    </row>
    <row r="136" spans="1:9" ht="15.75" thickBot="1" x14ac:dyDescent="0.3">
      <c r="A136" s="4" t="s">
        <v>125</v>
      </c>
      <c r="B136" s="5" t="s">
        <v>118</v>
      </c>
      <c r="C136" s="5" t="s">
        <v>10</v>
      </c>
      <c r="D136" s="5" t="s">
        <v>17</v>
      </c>
      <c r="E136" s="5" t="s">
        <v>63</v>
      </c>
      <c r="F136" s="5" t="s">
        <v>73</v>
      </c>
      <c r="G136" s="6">
        <v>10</v>
      </c>
      <c r="H136" s="5" t="s">
        <v>14</v>
      </c>
      <c r="I136" s="3"/>
    </row>
    <row r="137" spans="1:9" ht="15.75" thickBot="1" x14ac:dyDescent="0.3">
      <c r="A137" s="10">
        <v>46269</v>
      </c>
      <c r="B137" s="8" t="s">
        <v>140</v>
      </c>
      <c r="C137" s="8" t="s">
        <v>10</v>
      </c>
      <c r="D137" s="8" t="s">
        <v>11</v>
      </c>
      <c r="E137" s="8" t="s">
        <v>12</v>
      </c>
      <c r="F137" s="8" t="s">
        <v>47</v>
      </c>
      <c r="G137" s="9">
        <v>6</v>
      </c>
      <c r="H137" s="8" t="s">
        <v>19</v>
      </c>
      <c r="I137" s="3"/>
    </row>
    <row r="138" spans="1:9" ht="15.75" thickBot="1" x14ac:dyDescent="0.3">
      <c r="A138" s="4" t="s">
        <v>141</v>
      </c>
      <c r="B138" s="5" t="s">
        <v>40</v>
      </c>
      <c r="C138" s="5" t="s">
        <v>10</v>
      </c>
      <c r="D138" s="5" t="s">
        <v>36</v>
      </c>
      <c r="E138" s="5" t="s">
        <v>83</v>
      </c>
      <c r="F138" s="5" t="s">
        <v>64</v>
      </c>
      <c r="G138" s="6">
        <v>7</v>
      </c>
      <c r="H138" s="5" t="s">
        <v>19</v>
      </c>
      <c r="I138" s="3"/>
    </row>
    <row r="139" spans="1:9" ht="15.75" thickBot="1" x14ac:dyDescent="0.3">
      <c r="A139" s="7" t="s">
        <v>87</v>
      </c>
      <c r="B139" s="8" t="s">
        <v>26</v>
      </c>
      <c r="C139" s="8" t="s">
        <v>90</v>
      </c>
      <c r="D139" s="8" t="s">
        <v>11</v>
      </c>
      <c r="E139" s="8" t="s">
        <v>78</v>
      </c>
      <c r="F139" s="8" t="s">
        <v>38</v>
      </c>
      <c r="G139" s="9">
        <v>15</v>
      </c>
      <c r="H139" s="8" t="s">
        <v>42</v>
      </c>
      <c r="I139" s="3"/>
    </row>
    <row r="140" spans="1:9" ht="15.75" thickBot="1" x14ac:dyDescent="0.3">
      <c r="A140" s="4" t="s">
        <v>123</v>
      </c>
      <c r="B140" s="5" t="s">
        <v>74</v>
      </c>
      <c r="C140" s="5" t="s">
        <v>46</v>
      </c>
      <c r="D140" s="5" t="s">
        <v>36</v>
      </c>
      <c r="E140" s="5" t="s">
        <v>63</v>
      </c>
      <c r="F140" s="5" t="s">
        <v>47</v>
      </c>
      <c r="G140" s="6">
        <v>11</v>
      </c>
      <c r="H140" s="5" t="s">
        <v>14</v>
      </c>
      <c r="I140" s="3"/>
    </row>
    <row r="141" spans="1:9" ht="15.75" thickBot="1" x14ac:dyDescent="0.3">
      <c r="A141" s="7" t="s">
        <v>142</v>
      </c>
      <c r="B141" s="8" t="s">
        <v>40</v>
      </c>
      <c r="C141" s="8" t="s">
        <v>62</v>
      </c>
      <c r="D141" s="8" t="s">
        <v>11</v>
      </c>
      <c r="E141" s="8" t="s">
        <v>18</v>
      </c>
      <c r="F141" s="8" t="s">
        <v>25</v>
      </c>
      <c r="G141" s="9">
        <v>8</v>
      </c>
      <c r="H141" s="8" t="s">
        <v>19</v>
      </c>
      <c r="I141" s="3"/>
    </row>
    <row r="142" spans="1:9" ht="15.75" thickBot="1" x14ac:dyDescent="0.3">
      <c r="A142" s="11">
        <v>46303</v>
      </c>
      <c r="B142" s="5" t="s">
        <v>74</v>
      </c>
      <c r="C142" s="5" t="s">
        <v>46</v>
      </c>
      <c r="D142" s="5" t="s">
        <v>23</v>
      </c>
      <c r="E142" s="5" t="s">
        <v>59</v>
      </c>
      <c r="F142" s="5" t="s">
        <v>56</v>
      </c>
      <c r="G142" s="6">
        <v>8</v>
      </c>
      <c r="H142" s="5" t="s">
        <v>14</v>
      </c>
      <c r="I142" s="3"/>
    </row>
    <row r="143" spans="1:9" ht="15.75" thickBot="1" x14ac:dyDescent="0.3">
      <c r="A143" s="7" t="s">
        <v>77</v>
      </c>
      <c r="B143" s="8" t="s">
        <v>40</v>
      </c>
      <c r="C143" s="8" t="s">
        <v>27</v>
      </c>
      <c r="D143" s="8" t="s">
        <v>43</v>
      </c>
      <c r="E143" s="8" t="s">
        <v>18</v>
      </c>
      <c r="F143" s="8" t="s">
        <v>47</v>
      </c>
      <c r="G143" s="9">
        <v>2</v>
      </c>
      <c r="H143" s="8" t="s">
        <v>50</v>
      </c>
      <c r="I143" s="3"/>
    </row>
    <row r="144" spans="1:9" ht="15.75" thickBot="1" x14ac:dyDescent="0.3">
      <c r="A144" s="4" t="s">
        <v>105</v>
      </c>
      <c r="B144" s="5" t="s">
        <v>48</v>
      </c>
      <c r="C144" s="5" t="s">
        <v>22</v>
      </c>
      <c r="D144" s="5" t="s">
        <v>11</v>
      </c>
      <c r="E144" s="5" t="s">
        <v>32</v>
      </c>
      <c r="F144" s="5" t="s">
        <v>38</v>
      </c>
      <c r="G144" s="6">
        <v>12</v>
      </c>
      <c r="H144" s="5" t="s">
        <v>19</v>
      </c>
      <c r="I144" s="3"/>
    </row>
    <row r="145" spans="1:9" ht="15.75" thickBot="1" x14ac:dyDescent="0.3">
      <c r="A145" s="7" t="s">
        <v>143</v>
      </c>
      <c r="B145" s="8" t="s">
        <v>107</v>
      </c>
      <c r="C145" s="8" t="s">
        <v>10</v>
      </c>
      <c r="D145" s="8" t="s">
        <v>36</v>
      </c>
      <c r="E145" s="8" t="s">
        <v>59</v>
      </c>
      <c r="F145" s="8" t="s">
        <v>103</v>
      </c>
      <c r="G145" s="9">
        <v>13</v>
      </c>
      <c r="H145" s="8" t="s">
        <v>42</v>
      </c>
      <c r="I145" s="3"/>
    </row>
    <row r="146" spans="1:9" ht="15.75" thickBot="1" x14ac:dyDescent="0.3">
      <c r="A146" s="4" t="s">
        <v>106</v>
      </c>
      <c r="B146" s="5" t="s">
        <v>97</v>
      </c>
      <c r="C146" s="5" t="s">
        <v>62</v>
      </c>
      <c r="D146" s="5" t="s">
        <v>17</v>
      </c>
      <c r="E146" s="5" t="s">
        <v>44</v>
      </c>
      <c r="F146" s="5" t="s">
        <v>103</v>
      </c>
      <c r="G146" s="6">
        <v>3</v>
      </c>
      <c r="H146" s="5" t="s">
        <v>14</v>
      </c>
      <c r="I146" s="3"/>
    </row>
    <row r="147" spans="1:9" ht="15.75" thickBot="1" x14ac:dyDescent="0.3">
      <c r="A147" s="7" t="s">
        <v>29</v>
      </c>
      <c r="B147" s="8" t="s">
        <v>34</v>
      </c>
      <c r="C147" s="8" t="s">
        <v>46</v>
      </c>
      <c r="D147" s="8" t="s">
        <v>17</v>
      </c>
      <c r="E147" s="8" t="s">
        <v>63</v>
      </c>
      <c r="F147" s="8" t="s">
        <v>49</v>
      </c>
      <c r="G147" s="9">
        <v>11</v>
      </c>
      <c r="H147" s="8" t="s">
        <v>19</v>
      </c>
      <c r="I147" s="3"/>
    </row>
    <row r="148" spans="1:9" ht="15.75" thickBot="1" x14ac:dyDescent="0.3">
      <c r="A148" s="4" t="s">
        <v>112</v>
      </c>
      <c r="B148" s="5" t="s">
        <v>55</v>
      </c>
      <c r="C148" s="5" t="s">
        <v>22</v>
      </c>
      <c r="D148" s="5" t="s">
        <v>11</v>
      </c>
      <c r="E148" s="5" t="s">
        <v>83</v>
      </c>
      <c r="F148" s="5" t="s">
        <v>33</v>
      </c>
      <c r="G148" s="6">
        <v>3</v>
      </c>
      <c r="H148" s="5" t="s">
        <v>14</v>
      </c>
      <c r="I148" s="3"/>
    </row>
    <row r="149" spans="1:9" ht="15.75" thickBot="1" x14ac:dyDescent="0.3">
      <c r="A149" s="10">
        <v>46205</v>
      </c>
      <c r="B149" s="8" t="s">
        <v>72</v>
      </c>
      <c r="C149" s="8" t="s">
        <v>94</v>
      </c>
      <c r="D149" s="8" t="s">
        <v>23</v>
      </c>
      <c r="E149" s="8" t="s">
        <v>83</v>
      </c>
      <c r="F149" s="8" t="s">
        <v>33</v>
      </c>
      <c r="G149" s="9">
        <v>14</v>
      </c>
      <c r="H149" s="8" t="s">
        <v>19</v>
      </c>
      <c r="I149" s="3"/>
    </row>
    <row r="150" spans="1:9" ht="15.75" thickBot="1" x14ac:dyDescent="0.3">
      <c r="A150" s="11">
        <v>46358</v>
      </c>
      <c r="B150" s="5" t="s">
        <v>118</v>
      </c>
      <c r="C150" s="5" t="s">
        <v>31</v>
      </c>
      <c r="D150" s="5" t="s">
        <v>43</v>
      </c>
      <c r="E150" s="5" t="s">
        <v>52</v>
      </c>
      <c r="F150" s="5" t="s">
        <v>33</v>
      </c>
      <c r="G150" s="6">
        <v>1</v>
      </c>
      <c r="H150" s="5" t="s">
        <v>42</v>
      </c>
      <c r="I150" s="3"/>
    </row>
    <row r="151" spans="1:9" ht="15.75" thickBot="1" x14ac:dyDescent="0.3">
      <c r="A151" s="7" t="s">
        <v>144</v>
      </c>
      <c r="B151" s="8" t="s">
        <v>55</v>
      </c>
      <c r="C151" s="8" t="s">
        <v>10</v>
      </c>
      <c r="D151" s="8" t="s">
        <v>23</v>
      </c>
      <c r="E151" s="8" t="s">
        <v>67</v>
      </c>
      <c r="F151" s="8" t="s">
        <v>103</v>
      </c>
      <c r="G151" s="9">
        <v>10</v>
      </c>
      <c r="H151" s="8" t="s">
        <v>14</v>
      </c>
      <c r="I151" s="3"/>
    </row>
    <row r="152" spans="1:9" ht="15.75" thickBot="1" x14ac:dyDescent="0.3">
      <c r="A152" s="11">
        <v>46210</v>
      </c>
      <c r="B152" s="5" t="s">
        <v>85</v>
      </c>
      <c r="C152" s="5" t="s">
        <v>22</v>
      </c>
      <c r="D152" s="5" t="s">
        <v>23</v>
      </c>
      <c r="E152" s="5" t="s">
        <v>37</v>
      </c>
      <c r="F152" s="5" t="s">
        <v>28</v>
      </c>
      <c r="G152" s="6">
        <v>7</v>
      </c>
      <c r="H152" s="5" t="s">
        <v>14</v>
      </c>
      <c r="I152" s="3"/>
    </row>
    <row r="153" spans="1:9" ht="15.75" thickBot="1" x14ac:dyDescent="0.3">
      <c r="A153" s="7" t="s">
        <v>65</v>
      </c>
      <c r="B153" s="8" t="s">
        <v>57</v>
      </c>
      <c r="C153" s="8" t="s">
        <v>111</v>
      </c>
      <c r="D153" s="8" t="s">
        <v>43</v>
      </c>
      <c r="E153" s="8" t="s">
        <v>63</v>
      </c>
      <c r="F153" s="8" t="s">
        <v>64</v>
      </c>
      <c r="G153" s="9">
        <v>6</v>
      </c>
      <c r="H153" s="8" t="s">
        <v>50</v>
      </c>
      <c r="I153" s="3"/>
    </row>
    <row r="154" spans="1:9" ht="15.75" thickBot="1" x14ac:dyDescent="0.3">
      <c r="A154" s="4" t="s">
        <v>15</v>
      </c>
      <c r="B154" s="5" t="s">
        <v>55</v>
      </c>
      <c r="C154" s="5" t="s">
        <v>27</v>
      </c>
      <c r="D154" s="5" t="s">
        <v>43</v>
      </c>
      <c r="E154" s="5" t="s">
        <v>37</v>
      </c>
      <c r="F154" s="5" t="s">
        <v>53</v>
      </c>
      <c r="G154" s="6">
        <v>8</v>
      </c>
      <c r="H154" s="5" t="s">
        <v>14</v>
      </c>
      <c r="I154" s="3"/>
    </row>
    <row r="155" spans="1:9" ht="15.75" thickBot="1" x14ac:dyDescent="0.3">
      <c r="A155" s="10">
        <v>46329</v>
      </c>
      <c r="B155" s="8" t="s">
        <v>26</v>
      </c>
      <c r="C155" s="8" t="s">
        <v>10</v>
      </c>
      <c r="D155" s="8" t="s">
        <v>23</v>
      </c>
      <c r="E155" s="8" t="s">
        <v>59</v>
      </c>
      <c r="F155" s="8" t="s">
        <v>28</v>
      </c>
      <c r="G155" s="9">
        <v>13</v>
      </c>
      <c r="H155" s="8" t="s">
        <v>19</v>
      </c>
      <c r="I155" s="3"/>
    </row>
    <row r="156" spans="1:9" ht="15.75" thickBot="1" x14ac:dyDescent="0.3">
      <c r="A156" s="4" t="s">
        <v>112</v>
      </c>
      <c r="B156" s="5" t="s">
        <v>40</v>
      </c>
      <c r="C156" s="5" t="s">
        <v>46</v>
      </c>
      <c r="D156" s="5" t="s">
        <v>17</v>
      </c>
      <c r="E156" s="5" t="s">
        <v>44</v>
      </c>
      <c r="F156" s="5" t="s">
        <v>25</v>
      </c>
      <c r="G156" s="6">
        <v>11</v>
      </c>
      <c r="H156" s="5" t="s">
        <v>19</v>
      </c>
      <c r="I156" s="3"/>
    </row>
    <row r="157" spans="1:9" ht="15.75" thickBot="1" x14ac:dyDescent="0.3">
      <c r="A157" s="10">
        <v>46179</v>
      </c>
      <c r="B157" s="8" t="s">
        <v>88</v>
      </c>
      <c r="C157" s="8" t="s">
        <v>46</v>
      </c>
      <c r="D157" s="8" t="s">
        <v>43</v>
      </c>
      <c r="E157" s="8" t="s">
        <v>59</v>
      </c>
      <c r="F157" s="8" t="s">
        <v>38</v>
      </c>
      <c r="G157" s="9">
        <v>8</v>
      </c>
      <c r="H157" s="8" t="s">
        <v>50</v>
      </c>
      <c r="I157" s="3"/>
    </row>
    <row r="158" spans="1:9" ht="15.75" thickBot="1" x14ac:dyDescent="0.3">
      <c r="A158" s="11">
        <v>46054</v>
      </c>
      <c r="B158" s="5" t="s">
        <v>16</v>
      </c>
      <c r="C158" s="5" t="s">
        <v>22</v>
      </c>
      <c r="D158" s="5" t="s">
        <v>17</v>
      </c>
      <c r="E158" s="5" t="s">
        <v>76</v>
      </c>
      <c r="F158" s="5" t="s">
        <v>49</v>
      </c>
      <c r="G158" s="6">
        <v>13</v>
      </c>
      <c r="H158" s="5" t="s">
        <v>50</v>
      </c>
      <c r="I158" s="3"/>
    </row>
    <row r="159" spans="1:9" ht="15.75" thickBot="1" x14ac:dyDescent="0.3">
      <c r="A159" s="10">
        <v>46054</v>
      </c>
      <c r="B159" s="8" t="s">
        <v>85</v>
      </c>
      <c r="C159" s="8" t="s">
        <v>27</v>
      </c>
      <c r="D159" s="8" t="s">
        <v>36</v>
      </c>
      <c r="E159" s="8" t="s">
        <v>83</v>
      </c>
      <c r="F159" s="8" t="s">
        <v>25</v>
      </c>
      <c r="G159" s="9">
        <v>12</v>
      </c>
      <c r="H159" s="8" t="s">
        <v>42</v>
      </c>
      <c r="I159" s="3"/>
    </row>
    <row r="160" spans="1:9" ht="15.75" thickBot="1" x14ac:dyDescent="0.3">
      <c r="A160" s="4" t="s">
        <v>145</v>
      </c>
      <c r="B160" s="5" t="s">
        <v>30</v>
      </c>
      <c r="C160" s="5" t="s">
        <v>31</v>
      </c>
      <c r="D160" s="5" t="s">
        <v>23</v>
      </c>
      <c r="E160" s="5" t="s">
        <v>24</v>
      </c>
      <c r="F160" s="5" t="s">
        <v>53</v>
      </c>
      <c r="G160" s="6">
        <v>1</v>
      </c>
      <c r="H160" s="5" t="s">
        <v>19</v>
      </c>
      <c r="I160" s="3"/>
    </row>
    <row r="161" spans="1:9" ht="15.75" thickBot="1" x14ac:dyDescent="0.3">
      <c r="A161" s="7" t="s">
        <v>120</v>
      </c>
      <c r="B161" s="8" t="s">
        <v>101</v>
      </c>
      <c r="C161" s="8" t="s">
        <v>22</v>
      </c>
      <c r="D161" s="8" t="s">
        <v>11</v>
      </c>
      <c r="E161" s="8" t="s">
        <v>52</v>
      </c>
      <c r="F161" s="8" t="s">
        <v>33</v>
      </c>
      <c r="G161" s="9">
        <v>10</v>
      </c>
      <c r="H161" s="8" t="s">
        <v>50</v>
      </c>
      <c r="I161" s="3"/>
    </row>
    <row r="162" spans="1:9" ht="15.75" thickBot="1" x14ac:dyDescent="0.3">
      <c r="A162" s="11">
        <v>46360</v>
      </c>
      <c r="B162" s="5" t="s">
        <v>85</v>
      </c>
      <c r="C162" s="5" t="s">
        <v>70</v>
      </c>
      <c r="D162" s="5" t="s">
        <v>11</v>
      </c>
      <c r="E162" s="5" t="s">
        <v>76</v>
      </c>
      <c r="F162" s="5" t="s">
        <v>33</v>
      </c>
      <c r="G162" s="6">
        <v>15</v>
      </c>
      <c r="H162" s="5" t="s">
        <v>42</v>
      </c>
      <c r="I162" s="3"/>
    </row>
    <row r="163" spans="1:9" ht="15.75" thickBot="1" x14ac:dyDescent="0.3">
      <c r="A163" s="10">
        <v>46145</v>
      </c>
      <c r="B163" s="8" t="s">
        <v>118</v>
      </c>
      <c r="C163" s="8" t="s">
        <v>10</v>
      </c>
      <c r="D163" s="8" t="s">
        <v>43</v>
      </c>
      <c r="E163" s="8" t="s">
        <v>52</v>
      </c>
      <c r="F163" s="8" t="s">
        <v>28</v>
      </c>
      <c r="G163" s="9">
        <v>3</v>
      </c>
      <c r="H163" s="8" t="s">
        <v>50</v>
      </c>
      <c r="I163" s="3"/>
    </row>
    <row r="164" spans="1:9" ht="15.75" thickBot="1" x14ac:dyDescent="0.3">
      <c r="A164" s="11">
        <v>46174</v>
      </c>
      <c r="B164" s="5" t="s">
        <v>30</v>
      </c>
      <c r="C164" s="5" t="s">
        <v>70</v>
      </c>
      <c r="D164" s="5" t="s">
        <v>36</v>
      </c>
      <c r="E164" s="5" t="s">
        <v>76</v>
      </c>
      <c r="F164" s="5" t="s">
        <v>25</v>
      </c>
      <c r="G164" s="6">
        <v>1</v>
      </c>
      <c r="H164" s="5" t="s">
        <v>14</v>
      </c>
      <c r="I164" s="3"/>
    </row>
    <row r="165" spans="1:9" ht="15.75" thickBot="1" x14ac:dyDescent="0.3">
      <c r="A165" s="7" t="s">
        <v>146</v>
      </c>
      <c r="B165" s="8" t="s">
        <v>16</v>
      </c>
      <c r="C165" s="8" t="s">
        <v>70</v>
      </c>
      <c r="D165" s="8" t="s">
        <v>11</v>
      </c>
      <c r="E165" s="8" t="s">
        <v>32</v>
      </c>
      <c r="F165" s="8" t="s">
        <v>38</v>
      </c>
      <c r="G165" s="9">
        <v>9</v>
      </c>
      <c r="H165" s="8" t="s">
        <v>42</v>
      </c>
      <c r="I165" s="3"/>
    </row>
    <row r="166" spans="1:9" ht="15.75" thickBot="1" x14ac:dyDescent="0.3">
      <c r="A166" s="11">
        <v>46147</v>
      </c>
      <c r="B166" s="5" t="s">
        <v>21</v>
      </c>
      <c r="C166" s="5" t="s">
        <v>27</v>
      </c>
      <c r="D166" s="5" t="s">
        <v>17</v>
      </c>
      <c r="E166" s="5" t="s">
        <v>59</v>
      </c>
      <c r="F166" s="5" t="s">
        <v>49</v>
      </c>
      <c r="G166" s="6">
        <v>13</v>
      </c>
      <c r="H166" s="5" t="s">
        <v>14</v>
      </c>
      <c r="I166" s="3"/>
    </row>
    <row r="167" spans="1:9" ht="15.75" thickBot="1" x14ac:dyDescent="0.3">
      <c r="A167" s="7" t="s">
        <v>120</v>
      </c>
      <c r="B167" s="8" t="s">
        <v>118</v>
      </c>
      <c r="C167" s="8" t="s">
        <v>90</v>
      </c>
      <c r="D167" s="8" t="s">
        <v>17</v>
      </c>
      <c r="E167" s="8" t="s">
        <v>52</v>
      </c>
      <c r="F167" s="8" t="s">
        <v>64</v>
      </c>
      <c r="G167" s="9">
        <v>10</v>
      </c>
      <c r="H167" s="8" t="s">
        <v>19</v>
      </c>
      <c r="I167" s="3"/>
    </row>
    <row r="168" spans="1:9" ht="15.75" thickBot="1" x14ac:dyDescent="0.3">
      <c r="A168" s="11">
        <v>46179</v>
      </c>
      <c r="B168" s="5" t="s">
        <v>74</v>
      </c>
      <c r="C168" s="5" t="s">
        <v>10</v>
      </c>
      <c r="D168" s="5" t="s">
        <v>23</v>
      </c>
      <c r="E168" s="5" t="s">
        <v>12</v>
      </c>
      <c r="F168" s="5" t="s">
        <v>73</v>
      </c>
      <c r="G168" s="6">
        <v>10</v>
      </c>
      <c r="H168" s="5" t="s">
        <v>14</v>
      </c>
      <c r="I168" s="3"/>
    </row>
    <row r="169" spans="1:9" ht="15.75" thickBot="1" x14ac:dyDescent="0.3">
      <c r="A169" s="7" t="s">
        <v>95</v>
      </c>
      <c r="B169" s="8" t="s">
        <v>107</v>
      </c>
      <c r="C169" s="8" t="s">
        <v>46</v>
      </c>
      <c r="D169" s="8" t="s">
        <v>43</v>
      </c>
      <c r="E169" s="8" t="s">
        <v>83</v>
      </c>
      <c r="F169" s="8" t="s">
        <v>41</v>
      </c>
      <c r="G169" s="9">
        <v>15</v>
      </c>
      <c r="H169" s="8" t="s">
        <v>19</v>
      </c>
      <c r="I169" s="3"/>
    </row>
    <row r="170" spans="1:9" ht="15.75" thickBot="1" x14ac:dyDescent="0.3">
      <c r="A170" s="4" t="s">
        <v>147</v>
      </c>
      <c r="B170" s="5" t="s">
        <v>69</v>
      </c>
      <c r="C170" s="5" t="s">
        <v>31</v>
      </c>
      <c r="D170" s="5" t="s">
        <v>11</v>
      </c>
      <c r="E170" s="5" t="s">
        <v>83</v>
      </c>
      <c r="F170" s="5" t="s">
        <v>47</v>
      </c>
      <c r="G170" s="6">
        <v>9</v>
      </c>
      <c r="H170" s="5" t="s">
        <v>50</v>
      </c>
      <c r="I170" s="3"/>
    </row>
    <row r="171" spans="1:9" ht="15.75" thickBot="1" x14ac:dyDescent="0.3">
      <c r="A171" s="7" t="s">
        <v>148</v>
      </c>
      <c r="B171" s="8" t="s">
        <v>55</v>
      </c>
      <c r="C171" s="8" t="s">
        <v>31</v>
      </c>
      <c r="D171" s="8" t="s">
        <v>43</v>
      </c>
      <c r="E171" s="8" t="s">
        <v>78</v>
      </c>
      <c r="F171" s="8" t="s">
        <v>73</v>
      </c>
      <c r="G171" s="9">
        <v>14</v>
      </c>
      <c r="H171" s="8" t="s">
        <v>42</v>
      </c>
      <c r="I171" s="3"/>
    </row>
    <row r="172" spans="1:9" ht="15.75" thickBot="1" x14ac:dyDescent="0.3">
      <c r="A172" s="11">
        <v>46238</v>
      </c>
      <c r="B172" s="5" t="s">
        <v>140</v>
      </c>
      <c r="C172" s="5" t="s">
        <v>10</v>
      </c>
      <c r="D172" s="5" t="s">
        <v>17</v>
      </c>
      <c r="E172" s="5" t="s">
        <v>32</v>
      </c>
      <c r="F172" s="5" t="s">
        <v>38</v>
      </c>
      <c r="G172" s="6">
        <v>14</v>
      </c>
      <c r="H172" s="5" t="s">
        <v>50</v>
      </c>
      <c r="I172" s="3"/>
    </row>
    <row r="173" spans="1:9" ht="15.75" thickBot="1" x14ac:dyDescent="0.3">
      <c r="A173" s="10">
        <v>46364</v>
      </c>
      <c r="B173" s="8" t="s">
        <v>34</v>
      </c>
      <c r="C173" s="8" t="s">
        <v>22</v>
      </c>
      <c r="D173" s="8" t="s">
        <v>17</v>
      </c>
      <c r="E173" s="8" t="s">
        <v>63</v>
      </c>
      <c r="F173" s="8" t="s">
        <v>41</v>
      </c>
      <c r="G173" s="9">
        <v>10</v>
      </c>
      <c r="H173" s="8" t="s">
        <v>19</v>
      </c>
      <c r="I173" s="3"/>
    </row>
    <row r="174" spans="1:9" ht="15.75" thickBot="1" x14ac:dyDescent="0.3">
      <c r="A174" s="4" t="s">
        <v>93</v>
      </c>
      <c r="B174" s="5" t="s">
        <v>55</v>
      </c>
      <c r="C174" s="5" t="s">
        <v>31</v>
      </c>
      <c r="D174" s="5" t="s">
        <v>23</v>
      </c>
      <c r="E174" s="5" t="s">
        <v>83</v>
      </c>
      <c r="F174" s="5" t="s">
        <v>47</v>
      </c>
      <c r="G174" s="6">
        <v>15</v>
      </c>
      <c r="H174" s="5" t="s">
        <v>14</v>
      </c>
      <c r="I174" s="3"/>
    </row>
    <row r="175" spans="1:9" ht="15.75" thickBot="1" x14ac:dyDescent="0.3">
      <c r="A175" s="7" t="s">
        <v>114</v>
      </c>
      <c r="B175" s="8" t="s">
        <v>61</v>
      </c>
      <c r="C175" s="8" t="s">
        <v>70</v>
      </c>
      <c r="D175" s="8" t="s">
        <v>36</v>
      </c>
      <c r="E175" s="8" t="s">
        <v>115</v>
      </c>
      <c r="F175" s="8" t="s">
        <v>49</v>
      </c>
      <c r="G175" s="9">
        <v>5</v>
      </c>
      <c r="H175" s="8" t="s">
        <v>50</v>
      </c>
      <c r="I175" s="3"/>
    </row>
    <row r="176" spans="1:9" ht="15.75" thickBot="1" x14ac:dyDescent="0.3">
      <c r="A176" s="11">
        <v>46114</v>
      </c>
      <c r="B176" s="5" t="s">
        <v>21</v>
      </c>
      <c r="C176" s="5" t="s">
        <v>10</v>
      </c>
      <c r="D176" s="5" t="s">
        <v>43</v>
      </c>
      <c r="E176" s="5" t="s">
        <v>115</v>
      </c>
      <c r="F176" s="5" t="s">
        <v>49</v>
      </c>
      <c r="G176" s="6">
        <v>15</v>
      </c>
      <c r="H176" s="5" t="s">
        <v>14</v>
      </c>
      <c r="I176" s="3"/>
    </row>
    <row r="177" spans="1:9" ht="15.75" thickBot="1" x14ac:dyDescent="0.3">
      <c r="A177" s="10">
        <v>46327</v>
      </c>
      <c r="B177" s="8" t="s">
        <v>34</v>
      </c>
      <c r="C177" s="8" t="s">
        <v>31</v>
      </c>
      <c r="D177" s="8" t="s">
        <v>17</v>
      </c>
      <c r="E177" s="8" t="s">
        <v>44</v>
      </c>
      <c r="F177" s="8" t="s">
        <v>64</v>
      </c>
      <c r="G177" s="9">
        <v>13</v>
      </c>
      <c r="H177" s="8" t="s">
        <v>42</v>
      </c>
      <c r="I177" s="3"/>
    </row>
    <row r="178" spans="1:9" ht="15.75" thickBot="1" x14ac:dyDescent="0.3">
      <c r="A178" s="11">
        <v>46211</v>
      </c>
      <c r="B178" s="5" t="s">
        <v>55</v>
      </c>
      <c r="C178" s="5" t="s">
        <v>94</v>
      </c>
      <c r="D178" s="5" t="s">
        <v>23</v>
      </c>
      <c r="E178" s="5" t="s">
        <v>44</v>
      </c>
      <c r="F178" s="5" t="s">
        <v>25</v>
      </c>
      <c r="G178" s="6">
        <v>9</v>
      </c>
      <c r="H178" s="5" t="s">
        <v>42</v>
      </c>
      <c r="I178" s="3"/>
    </row>
    <row r="179" spans="1:9" ht="15.75" thickBot="1" x14ac:dyDescent="0.3">
      <c r="A179" s="10">
        <v>46330</v>
      </c>
      <c r="B179" s="8" t="s">
        <v>61</v>
      </c>
      <c r="C179" s="8" t="s">
        <v>35</v>
      </c>
      <c r="D179" s="8" t="s">
        <v>17</v>
      </c>
      <c r="E179" s="8" t="s">
        <v>24</v>
      </c>
      <c r="F179" s="8" t="s">
        <v>64</v>
      </c>
      <c r="G179" s="9">
        <v>9</v>
      </c>
      <c r="H179" s="8" t="s">
        <v>19</v>
      </c>
      <c r="I179" s="3"/>
    </row>
    <row r="180" spans="1:9" ht="15.75" thickBot="1" x14ac:dyDescent="0.3">
      <c r="A180" s="11">
        <v>46113</v>
      </c>
      <c r="B180" s="5" t="s">
        <v>118</v>
      </c>
      <c r="C180" s="5" t="s">
        <v>70</v>
      </c>
      <c r="D180" s="5" t="s">
        <v>23</v>
      </c>
      <c r="E180" s="5" t="s">
        <v>32</v>
      </c>
      <c r="F180" s="5" t="s">
        <v>73</v>
      </c>
      <c r="G180" s="6">
        <v>9</v>
      </c>
      <c r="H180" s="5" t="s">
        <v>19</v>
      </c>
      <c r="I180" s="3"/>
    </row>
    <row r="181" spans="1:9" ht="15.75" thickBot="1" x14ac:dyDescent="0.3">
      <c r="A181" s="10">
        <v>46237</v>
      </c>
      <c r="B181" s="8" t="s">
        <v>107</v>
      </c>
      <c r="C181" s="8" t="s">
        <v>10</v>
      </c>
      <c r="D181" s="8" t="s">
        <v>36</v>
      </c>
      <c r="E181" s="8" t="s">
        <v>115</v>
      </c>
      <c r="F181" s="8" t="s">
        <v>47</v>
      </c>
      <c r="G181" s="9">
        <v>3</v>
      </c>
      <c r="H181" s="8" t="s">
        <v>42</v>
      </c>
      <c r="I181" s="3"/>
    </row>
    <row r="182" spans="1:9" ht="15.75" thickBot="1" x14ac:dyDescent="0.3">
      <c r="A182" s="4" t="s">
        <v>145</v>
      </c>
      <c r="B182" s="5" t="s">
        <v>88</v>
      </c>
      <c r="C182" s="5" t="s">
        <v>31</v>
      </c>
      <c r="D182" s="5" t="s">
        <v>43</v>
      </c>
      <c r="E182" s="5" t="s">
        <v>83</v>
      </c>
      <c r="F182" s="5" t="s">
        <v>38</v>
      </c>
      <c r="G182" s="6">
        <v>2</v>
      </c>
      <c r="H182" s="5" t="s">
        <v>50</v>
      </c>
      <c r="I182" s="3"/>
    </row>
    <row r="183" spans="1:9" ht="15.75" thickBot="1" x14ac:dyDescent="0.3">
      <c r="A183" s="7" t="s">
        <v>99</v>
      </c>
      <c r="B183" s="8" t="s">
        <v>30</v>
      </c>
      <c r="C183" s="8" t="s">
        <v>27</v>
      </c>
      <c r="D183" s="8" t="s">
        <v>11</v>
      </c>
      <c r="E183" s="8" t="s">
        <v>76</v>
      </c>
      <c r="F183" s="8" t="s">
        <v>53</v>
      </c>
      <c r="G183" s="9">
        <v>6</v>
      </c>
      <c r="H183" s="8" t="s">
        <v>14</v>
      </c>
      <c r="I183" s="3"/>
    </row>
    <row r="184" spans="1:9" ht="15.75" thickBot="1" x14ac:dyDescent="0.3">
      <c r="A184" s="11">
        <v>46331</v>
      </c>
      <c r="B184" s="5" t="s">
        <v>58</v>
      </c>
      <c r="C184" s="5" t="s">
        <v>90</v>
      </c>
      <c r="D184" s="5" t="s">
        <v>43</v>
      </c>
      <c r="E184" s="5" t="s">
        <v>59</v>
      </c>
      <c r="F184" s="5" t="s">
        <v>41</v>
      </c>
      <c r="G184" s="6">
        <v>4</v>
      </c>
      <c r="H184" s="5" t="s">
        <v>19</v>
      </c>
      <c r="I184" s="3"/>
    </row>
    <row r="185" spans="1:9" ht="15.75" thickBot="1" x14ac:dyDescent="0.3">
      <c r="A185" s="10">
        <v>46241</v>
      </c>
      <c r="B185" s="8" t="s">
        <v>92</v>
      </c>
      <c r="C185" s="8" t="s">
        <v>46</v>
      </c>
      <c r="D185" s="8" t="s">
        <v>17</v>
      </c>
      <c r="E185" s="8" t="s">
        <v>83</v>
      </c>
      <c r="F185" s="8" t="s">
        <v>56</v>
      </c>
      <c r="G185" s="9">
        <v>7</v>
      </c>
      <c r="H185" s="8" t="s">
        <v>19</v>
      </c>
      <c r="I185" s="3"/>
    </row>
    <row r="186" spans="1:9" ht="15.75" thickBot="1" x14ac:dyDescent="0.3">
      <c r="A186" s="11">
        <v>46084</v>
      </c>
      <c r="B186" s="5" t="s">
        <v>16</v>
      </c>
      <c r="C186" s="5" t="s">
        <v>70</v>
      </c>
      <c r="D186" s="5" t="s">
        <v>36</v>
      </c>
      <c r="E186" s="5" t="s">
        <v>63</v>
      </c>
      <c r="F186" s="5" t="s">
        <v>28</v>
      </c>
      <c r="G186" s="6">
        <v>14</v>
      </c>
      <c r="H186" s="5" t="s">
        <v>19</v>
      </c>
      <c r="I186" s="3"/>
    </row>
    <row r="187" spans="1:9" ht="15.75" thickBot="1" x14ac:dyDescent="0.3">
      <c r="A187" s="7" t="s">
        <v>81</v>
      </c>
      <c r="B187" s="8" t="s">
        <v>16</v>
      </c>
      <c r="C187" s="8" t="s">
        <v>27</v>
      </c>
      <c r="D187" s="8" t="s">
        <v>11</v>
      </c>
      <c r="E187" s="8" t="s">
        <v>18</v>
      </c>
      <c r="F187" s="8" t="s">
        <v>86</v>
      </c>
      <c r="G187" s="9">
        <v>12</v>
      </c>
      <c r="H187" s="8" t="s">
        <v>14</v>
      </c>
      <c r="I187" s="3"/>
    </row>
    <row r="188" spans="1:9" ht="15.75" thickBot="1" x14ac:dyDescent="0.3">
      <c r="A188" s="11">
        <v>46150</v>
      </c>
      <c r="B188" s="5" t="s">
        <v>69</v>
      </c>
      <c r="C188" s="5" t="s">
        <v>46</v>
      </c>
      <c r="D188" s="5" t="s">
        <v>11</v>
      </c>
      <c r="E188" s="5" t="s">
        <v>83</v>
      </c>
      <c r="F188" s="5" t="s">
        <v>33</v>
      </c>
      <c r="G188" s="6">
        <v>11</v>
      </c>
      <c r="H188" s="5" t="s">
        <v>19</v>
      </c>
      <c r="I188" s="3"/>
    </row>
    <row r="189" spans="1:9" ht="15.75" thickBot="1" x14ac:dyDescent="0.3">
      <c r="A189" s="10">
        <v>46059</v>
      </c>
      <c r="B189" s="8" t="s">
        <v>92</v>
      </c>
      <c r="C189" s="8" t="s">
        <v>35</v>
      </c>
      <c r="D189" s="8" t="s">
        <v>23</v>
      </c>
      <c r="E189" s="8" t="s">
        <v>59</v>
      </c>
      <c r="F189" s="8" t="s">
        <v>33</v>
      </c>
      <c r="G189" s="9">
        <v>4</v>
      </c>
      <c r="H189" s="8" t="s">
        <v>14</v>
      </c>
      <c r="I189" s="3"/>
    </row>
    <row r="190" spans="1:9" ht="15.75" thickBot="1" x14ac:dyDescent="0.3">
      <c r="A190" s="4" t="s">
        <v>149</v>
      </c>
      <c r="B190" s="5" t="s">
        <v>48</v>
      </c>
      <c r="C190" s="5" t="s">
        <v>10</v>
      </c>
      <c r="D190" s="5" t="s">
        <v>11</v>
      </c>
      <c r="E190" s="5" t="s">
        <v>12</v>
      </c>
      <c r="F190" s="5" t="s">
        <v>73</v>
      </c>
      <c r="G190" s="6">
        <v>4</v>
      </c>
      <c r="H190" s="5" t="s">
        <v>14</v>
      </c>
      <c r="I190" s="3"/>
    </row>
    <row r="191" spans="1:9" ht="15.75" thickBot="1" x14ac:dyDescent="0.3">
      <c r="A191" s="10">
        <v>46210</v>
      </c>
      <c r="B191" s="8" t="s">
        <v>69</v>
      </c>
      <c r="C191" s="8" t="s">
        <v>22</v>
      </c>
      <c r="D191" s="8" t="s">
        <v>17</v>
      </c>
      <c r="E191" s="8" t="s">
        <v>63</v>
      </c>
      <c r="F191" s="8" t="s">
        <v>56</v>
      </c>
      <c r="G191" s="9">
        <v>3</v>
      </c>
      <c r="H191" s="8" t="s">
        <v>19</v>
      </c>
      <c r="I191" s="3"/>
    </row>
    <row r="192" spans="1:9" ht="15.75" thickBot="1" x14ac:dyDescent="0.3">
      <c r="A192" s="4" t="s">
        <v>99</v>
      </c>
      <c r="B192" s="5" t="s">
        <v>55</v>
      </c>
      <c r="C192" s="5" t="s">
        <v>70</v>
      </c>
      <c r="D192" s="5" t="s">
        <v>43</v>
      </c>
      <c r="E192" s="5" t="s">
        <v>67</v>
      </c>
      <c r="F192" s="5" t="s">
        <v>47</v>
      </c>
      <c r="G192" s="6">
        <v>15</v>
      </c>
      <c r="H192" s="5" t="s">
        <v>19</v>
      </c>
      <c r="I192" s="3"/>
    </row>
    <row r="193" spans="1:9" ht="15.75" thickBot="1" x14ac:dyDescent="0.3">
      <c r="A193" s="7" t="s">
        <v>93</v>
      </c>
      <c r="B193" s="8" t="s">
        <v>9</v>
      </c>
      <c r="C193" s="8" t="s">
        <v>27</v>
      </c>
      <c r="D193" s="8" t="s">
        <v>36</v>
      </c>
      <c r="E193" s="8" t="s">
        <v>138</v>
      </c>
      <c r="F193" s="8" t="s">
        <v>47</v>
      </c>
      <c r="G193" s="9">
        <v>9</v>
      </c>
      <c r="H193" s="8" t="s">
        <v>19</v>
      </c>
      <c r="I193" s="3"/>
    </row>
    <row r="194" spans="1:9" ht="15.75" thickBot="1" x14ac:dyDescent="0.3">
      <c r="A194" s="11">
        <v>46177</v>
      </c>
      <c r="B194" s="5" t="s">
        <v>40</v>
      </c>
      <c r="C194" s="5" t="s">
        <v>94</v>
      </c>
      <c r="D194" s="5" t="s">
        <v>36</v>
      </c>
      <c r="E194" s="5" t="s">
        <v>83</v>
      </c>
      <c r="F194" s="5" t="s">
        <v>41</v>
      </c>
      <c r="G194" s="6">
        <v>12</v>
      </c>
      <c r="H194" s="5" t="s">
        <v>14</v>
      </c>
      <c r="I194" s="3"/>
    </row>
    <row r="195" spans="1:9" ht="15.75" thickBot="1" x14ac:dyDescent="0.3">
      <c r="A195" s="7" t="s">
        <v>150</v>
      </c>
      <c r="B195" s="8" t="s">
        <v>55</v>
      </c>
      <c r="C195" s="8" t="s">
        <v>94</v>
      </c>
      <c r="D195" s="8" t="s">
        <v>36</v>
      </c>
      <c r="E195" s="8" t="s">
        <v>63</v>
      </c>
      <c r="F195" s="8" t="s">
        <v>38</v>
      </c>
      <c r="G195" s="9">
        <v>5</v>
      </c>
      <c r="H195" s="8" t="s">
        <v>42</v>
      </c>
      <c r="I195" s="3"/>
    </row>
    <row r="196" spans="1:9" ht="15.75" thickBot="1" x14ac:dyDescent="0.3">
      <c r="A196" s="11">
        <v>46146</v>
      </c>
      <c r="B196" s="5" t="s">
        <v>30</v>
      </c>
      <c r="C196" s="5" t="s">
        <v>22</v>
      </c>
      <c r="D196" s="5" t="s">
        <v>43</v>
      </c>
      <c r="E196" s="5" t="s">
        <v>52</v>
      </c>
      <c r="F196" s="5" t="s">
        <v>49</v>
      </c>
      <c r="G196" s="6">
        <v>4</v>
      </c>
      <c r="H196" s="5" t="s">
        <v>50</v>
      </c>
      <c r="I196" s="3"/>
    </row>
    <row r="197" spans="1:9" ht="15.75" thickBot="1" x14ac:dyDescent="0.3">
      <c r="A197" s="7" t="s">
        <v>125</v>
      </c>
      <c r="B197" s="8" t="s">
        <v>85</v>
      </c>
      <c r="C197" s="8" t="s">
        <v>35</v>
      </c>
      <c r="D197" s="8" t="s">
        <v>36</v>
      </c>
      <c r="E197" s="8" t="s">
        <v>59</v>
      </c>
      <c r="F197" s="8" t="s">
        <v>103</v>
      </c>
      <c r="G197" s="9">
        <v>10</v>
      </c>
      <c r="H197" s="8" t="s">
        <v>19</v>
      </c>
      <c r="I197" s="3"/>
    </row>
    <row r="198" spans="1:9" ht="15.75" thickBot="1" x14ac:dyDescent="0.3">
      <c r="A198" s="4" t="s">
        <v>151</v>
      </c>
      <c r="B198" s="5" t="s">
        <v>101</v>
      </c>
      <c r="C198" s="5" t="s">
        <v>66</v>
      </c>
      <c r="D198" s="5" t="s">
        <v>11</v>
      </c>
      <c r="E198" s="5" t="s">
        <v>138</v>
      </c>
      <c r="F198" s="5" t="s">
        <v>38</v>
      </c>
      <c r="G198" s="6">
        <v>4</v>
      </c>
      <c r="H198" s="5" t="s">
        <v>50</v>
      </c>
      <c r="I198" s="3"/>
    </row>
    <row r="199" spans="1:9" ht="15.75" thickBot="1" x14ac:dyDescent="0.3">
      <c r="A199" s="7" t="s">
        <v>133</v>
      </c>
      <c r="B199" s="8" t="s">
        <v>88</v>
      </c>
      <c r="C199" s="8" t="s">
        <v>70</v>
      </c>
      <c r="D199" s="8" t="s">
        <v>23</v>
      </c>
      <c r="E199" s="8" t="s">
        <v>32</v>
      </c>
      <c r="F199" s="8" t="s">
        <v>41</v>
      </c>
      <c r="G199" s="9">
        <v>1</v>
      </c>
      <c r="H199" s="8" t="s">
        <v>14</v>
      </c>
      <c r="I199" s="3"/>
    </row>
    <row r="200" spans="1:9" ht="15.75" thickBot="1" x14ac:dyDescent="0.3">
      <c r="A200" s="11">
        <v>46024</v>
      </c>
      <c r="B200" s="5" t="s">
        <v>74</v>
      </c>
      <c r="C200" s="5" t="s">
        <v>22</v>
      </c>
      <c r="D200" s="5" t="s">
        <v>36</v>
      </c>
      <c r="E200" s="5" t="s">
        <v>52</v>
      </c>
      <c r="F200" s="5" t="s">
        <v>56</v>
      </c>
      <c r="G200" s="6">
        <v>13</v>
      </c>
      <c r="H200" s="5" t="s">
        <v>19</v>
      </c>
      <c r="I200" s="3"/>
    </row>
    <row r="201" spans="1:9" ht="15.75" thickBot="1" x14ac:dyDescent="0.3">
      <c r="A201" s="7" t="s">
        <v>81</v>
      </c>
      <c r="B201" s="8" t="s">
        <v>16</v>
      </c>
      <c r="C201" s="8" t="s">
        <v>94</v>
      </c>
      <c r="D201" s="8" t="s">
        <v>43</v>
      </c>
      <c r="E201" s="8" t="s">
        <v>32</v>
      </c>
      <c r="F201" s="8" t="s">
        <v>103</v>
      </c>
      <c r="G201" s="9">
        <v>7</v>
      </c>
      <c r="H201" s="8" t="s">
        <v>19</v>
      </c>
      <c r="I201" s="3"/>
    </row>
    <row r="202" spans="1:9" ht="15.75" thickBot="1" x14ac:dyDescent="0.3">
      <c r="A202" s="4" t="s">
        <v>120</v>
      </c>
      <c r="B202" s="5" t="s">
        <v>21</v>
      </c>
      <c r="C202" s="5" t="s">
        <v>22</v>
      </c>
      <c r="D202" s="5" t="s">
        <v>43</v>
      </c>
      <c r="E202" s="5" t="s">
        <v>24</v>
      </c>
      <c r="F202" s="5" t="s">
        <v>47</v>
      </c>
      <c r="G202" s="6">
        <v>10</v>
      </c>
      <c r="H202" s="5" t="s">
        <v>42</v>
      </c>
      <c r="I202" s="3"/>
    </row>
    <row r="203" spans="1:9" ht="15.75" thickBot="1" x14ac:dyDescent="0.3">
      <c r="A203" s="7" t="s">
        <v>152</v>
      </c>
      <c r="B203" s="8" t="s">
        <v>85</v>
      </c>
      <c r="C203" s="8" t="s">
        <v>22</v>
      </c>
      <c r="D203" s="8" t="s">
        <v>43</v>
      </c>
      <c r="E203" s="8" t="s">
        <v>59</v>
      </c>
      <c r="F203" s="8" t="s">
        <v>73</v>
      </c>
      <c r="G203" s="9">
        <v>5</v>
      </c>
      <c r="H203" s="8" t="s">
        <v>42</v>
      </c>
      <c r="I203" s="3"/>
    </row>
    <row r="204" spans="1:9" ht="15.75" thickBot="1" x14ac:dyDescent="0.3">
      <c r="A204" s="4" t="s">
        <v>153</v>
      </c>
      <c r="B204" s="5" t="s">
        <v>80</v>
      </c>
      <c r="C204" s="5" t="s">
        <v>62</v>
      </c>
      <c r="D204" s="5" t="s">
        <v>11</v>
      </c>
      <c r="E204" s="5" t="s">
        <v>32</v>
      </c>
      <c r="F204" s="5" t="s">
        <v>47</v>
      </c>
      <c r="G204" s="6">
        <v>2</v>
      </c>
      <c r="H204" s="5" t="s">
        <v>50</v>
      </c>
      <c r="I204" s="3"/>
    </row>
    <row r="205" spans="1:9" ht="15.75" thickBot="1" x14ac:dyDescent="0.3">
      <c r="A205" s="7" t="s">
        <v>148</v>
      </c>
      <c r="B205" s="8" t="s">
        <v>61</v>
      </c>
      <c r="C205" s="8" t="s">
        <v>70</v>
      </c>
      <c r="D205" s="8" t="s">
        <v>43</v>
      </c>
      <c r="E205" s="8" t="s">
        <v>24</v>
      </c>
      <c r="F205" s="8" t="s">
        <v>33</v>
      </c>
      <c r="G205" s="9">
        <v>8</v>
      </c>
      <c r="H205" s="8" t="s">
        <v>19</v>
      </c>
      <c r="I205" s="3"/>
    </row>
    <row r="206" spans="1:9" ht="15.75" thickBot="1" x14ac:dyDescent="0.3">
      <c r="A206" s="4" t="s">
        <v>125</v>
      </c>
      <c r="B206" s="5" t="s">
        <v>140</v>
      </c>
      <c r="C206" s="5" t="s">
        <v>22</v>
      </c>
      <c r="D206" s="5" t="s">
        <v>43</v>
      </c>
      <c r="E206" s="5" t="s">
        <v>59</v>
      </c>
      <c r="F206" s="5" t="s">
        <v>53</v>
      </c>
      <c r="G206" s="6">
        <v>4</v>
      </c>
      <c r="H206" s="5" t="s">
        <v>19</v>
      </c>
      <c r="I206" s="3"/>
    </row>
    <row r="207" spans="1:9" ht="15.75" thickBot="1" x14ac:dyDescent="0.3">
      <c r="A207" s="7" t="s">
        <v>154</v>
      </c>
      <c r="B207" s="8" t="s">
        <v>16</v>
      </c>
      <c r="C207" s="8" t="s">
        <v>62</v>
      </c>
      <c r="D207" s="8" t="s">
        <v>11</v>
      </c>
      <c r="E207" s="8" t="s">
        <v>76</v>
      </c>
      <c r="F207" s="8" t="s">
        <v>53</v>
      </c>
      <c r="G207" s="9">
        <v>10</v>
      </c>
      <c r="H207" s="8" t="s">
        <v>19</v>
      </c>
      <c r="I207" s="3"/>
    </row>
    <row r="208" spans="1:9" ht="15.75" thickBot="1" x14ac:dyDescent="0.3">
      <c r="A208" s="11">
        <v>46207</v>
      </c>
      <c r="B208" s="5" t="s">
        <v>55</v>
      </c>
      <c r="C208" s="5" t="s">
        <v>35</v>
      </c>
      <c r="D208" s="5" t="s">
        <v>23</v>
      </c>
      <c r="E208" s="5" t="s">
        <v>32</v>
      </c>
      <c r="F208" s="5" t="s">
        <v>73</v>
      </c>
      <c r="G208" s="6">
        <v>12</v>
      </c>
      <c r="H208" s="5" t="s">
        <v>14</v>
      </c>
      <c r="I208" s="3"/>
    </row>
    <row r="209" spans="1:9" ht="15.75" thickBot="1" x14ac:dyDescent="0.3">
      <c r="A209" s="10">
        <v>46146</v>
      </c>
      <c r="B209" s="8" t="s">
        <v>80</v>
      </c>
      <c r="C209" s="8" t="s">
        <v>10</v>
      </c>
      <c r="D209" s="8" t="s">
        <v>23</v>
      </c>
      <c r="E209" s="8" t="s">
        <v>59</v>
      </c>
      <c r="F209" s="8" t="s">
        <v>13</v>
      </c>
      <c r="G209" s="9">
        <v>4</v>
      </c>
      <c r="H209" s="8" t="s">
        <v>19</v>
      </c>
      <c r="I209" s="3"/>
    </row>
    <row r="210" spans="1:9" ht="15.75" thickBot="1" x14ac:dyDescent="0.3">
      <c r="A210" s="11">
        <v>46298</v>
      </c>
      <c r="B210" s="5" t="s">
        <v>80</v>
      </c>
      <c r="C210" s="5" t="s">
        <v>10</v>
      </c>
      <c r="D210" s="5" t="s">
        <v>43</v>
      </c>
      <c r="E210" s="5" t="s">
        <v>83</v>
      </c>
      <c r="F210" s="5" t="s">
        <v>41</v>
      </c>
      <c r="G210" s="6">
        <v>6</v>
      </c>
      <c r="H210" s="5" t="s">
        <v>42</v>
      </c>
      <c r="I210" s="3"/>
    </row>
    <row r="211" spans="1:9" ht="15.75" thickBot="1" x14ac:dyDescent="0.3">
      <c r="A211" s="10">
        <v>46239</v>
      </c>
      <c r="B211" s="8" t="s">
        <v>88</v>
      </c>
      <c r="C211" s="8" t="s">
        <v>22</v>
      </c>
      <c r="D211" s="8" t="s">
        <v>11</v>
      </c>
      <c r="E211" s="8" t="s">
        <v>37</v>
      </c>
      <c r="F211" s="8" t="s">
        <v>28</v>
      </c>
      <c r="G211" s="9">
        <v>4</v>
      </c>
      <c r="H211" s="8" t="s">
        <v>19</v>
      </c>
      <c r="I211" s="3"/>
    </row>
    <row r="212" spans="1:9" ht="15.75" thickBot="1" x14ac:dyDescent="0.3">
      <c r="A212" s="11">
        <v>46240</v>
      </c>
      <c r="B212" s="5" t="s">
        <v>21</v>
      </c>
      <c r="C212" s="5" t="s">
        <v>46</v>
      </c>
      <c r="D212" s="5" t="s">
        <v>23</v>
      </c>
      <c r="E212" s="5" t="s">
        <v>115</v>
      </c>
      <c r="F212" s="5" t="s">
        <v>13</v>
      </c>
      <c r="G212" s="6">
        <v>5</v>
      </c>
      <c r="H212" s="5" t="s">
        <v>19</v>
      </c>
      <c r="I212" s="3"/>
    </row>
    <row r="213" spans="1:9" ht="15.75" thickBot="1" x14ac:dyDescent="0.3">
      <c r="A213" s="7" t="s">
        <v>54</v>
      </c>
      <c r="B213" s="8" t="s">
        <v>16</v>
      </c>
      <c r="C213" s="8" t="s">
        <v>70</v>
      </c>
      <c r="D213" s="8" t="s">
        <v>23</v>
      </c>
      <c r="E213" s="8" t="s">
        <v>52</v>
      </c>
      <c r="F213" s="8" t="s">
        <v>41</v>
      </c>
      <c r="G213" s="9">
        <v>5</v>
      </c>
      <c r="H213" s="8" t="s">
        <v>19</v>
      </c>
      <c r="I213" s="3"/>
    </row>
    <row r="214" spans="1:9" ht="15.75" thickBot="1" x14ac:dyDescent="0.3">
      <c r="A214" s="4" t="s">
        <v>130</v>
      </c>
      <c r="B214" s="5" t="s">
        <v>40</v>
      </c>
      <c r="C214" s="5" t="s">
        <v>66</v>
      </c>
      <c r="D214" s="5" t="s">
        <v>17</v>
      </c>
      <c r="E214" s="5" t="s">
        <v>115</v>
      </c>
      <c r="F214" s="5" t="s">
        <v>103</v>
      </c>
      <c r="G214" s="6">
        <v>11</v>
      </c>
      <c r="H214" s="5" t="s">
        <v>14</v>
      </c>
      <c r="I214" s="3"/>
    </row>
    <row r="215" spans="1:9" ht="15.75" thickBot="1" x14ac:dyDescent="0.3">
      <c r="A215" s="10">
        <v>46029</v>
      </c>
      <c r="B215" s="8" t="s">
        <v>40</v>
      </c>
      <c r="C215" s="8" t="s">
        <v>90</v>
      </c>
      <c r="D215" s="8" t="s">
        <v>17</v>
      </c>
      <c r="E215" s="8" t="s">
        <v>67</v>
      </c>
      <c r="F215" s="8" t="s">
        <v>13</v>
      </c>
      <c r="G215" s="9">
        <v>3</v>
      </c>
      <c r="H215" s="8" t="s">
        <v>14</v>
      </c>
      <c r="I215" s="3"/>
    </row>
    <row r="216" spans="1:9" ht="15.75" thickBot="1" x14ac:dyDescent="0.3">
      <c r="A216" s="11">
        <v>46236</v>
      </c>
      <c r="B216" s="5" t="s">
        <v>9</v>
      </c>
      <c r="C216" s="5" t="s">
        <v>22</v>
      </c>
      <c r="D216" s="5" t="s">
        <v>23</v>
      </c>
      <c r="E216" s="5" t="s">
        <v>32</v>
      </c>
      <c r="F216" s="5" t="s">
        <v>33</v>
      </c>
      <c r="G216" s="6">
        <v>4</v>
      </c>
      <c r="H216" s="5" t="s">
        <v>19</v>
      </c>
      <c r="I216" s="3"/>
    </row>
    <row r="217" spans="1:9" ht="15.75" thickBot="1" x14ac:dyDescent="0.3">
      <c r="A217" s="7" t="s">
        <v>120</v>
      </c>
      <c r="B217" s="8" t="s">
        <v>72</v>
      </c>
      <c r="C217" s="8" t="s">
        <v>31</v>
      </c>
      <c r="D217" s="8" t="s">
        <v>36</v>
      </c>
      <c r="E217" s="8" t="s">
        <v>37</v>
      </c>
      <c r="F217" s="8" t="s">
        <v>64</v>
      </c>
      <c r="G217" s="9">
        <v>8</v>
      </c>
      <c r="H217" s="8" t="s">
        <v>42</v>
      </c>
      <c r="I217" s="3"/>
    </row>
    <row r="218" spans="1:9" ht="15.75" thickBot="1" x14ac:dyDescent="0.3">
      <c r="A218" s="11">
        <v>46178</v>
      </c>
      <c r="B218" s="5" t="s">
        <v>34</v>
      </c>
      <c r="C218" s="5" t="s">
        <v>94</v>
      </c>
      <c r="D218" s="5" t="s">
        <v>11</v>
      </c>
      <c r="E218" s="5" t="s">
        <v>59</v>
      </c>
      <c r="F218" s="5" t="s">
        <v>13</v>
      </c>
      <c r="G218" s="6">
        <v>8</v>
      </c>
      <c r="H218" s="5" t="s">
        <v>42</v>
      </c>
      <c r="I218" s="3"/>
    </row>
    <row r="219" spans="1:9" ht="15.75" thickBot="1" x14ac:dyDescent="0.3">
      <c r="A219" s="7" t="s">
        <v>155</v>
      </c>
      <c r="B219" s="8" t="s">
        <v>26</v>
      </c>
      <c r="C219" s="8" t="s">
        <v>46</v>
      </c>
      <c r="D219" s="8" t="s">
        <v>36</v>
      </c>
      <c r="E219" s="8" t="s">
        <v>63</v>
      </c>
      <c r="F219" s="8" t="s">
        <v>25</v>
      </c>
      <c r="G219" s="9">
        <v>8</v>
      </c>
      <c r="H219" s="8" t="s">
        <v>42</v>
      </c>
      <c r="I219" s="3"/>
    </row>
    <row r="220" spans="1:9" ht="15.75" thickBot="1" x14ac:dyDescent="0.3">
      <c r="A220" s="11">
        <v>46270</v>
      </c>
      <c r="B220" s="5" t="s">
        <v>61</v>
      </c>
      <c r="C220" s="5" t="s">
        <v>27</v>
      </c>
      <c r="D220" s="5" t="s">
        <v>11</v>
      </c>
      <c r="E220" s="5" t="s">
        <v>83</v>
      </c>
      <c r="F220" s="5" t="s">
        <v>13</v>
      </c>
      <c r="G220" s="6">
        <v>6</v>
      </c>
      <c r="H220" s="5" t="s">
        <v>19</v>
      </c>
      <c r="I220" s="3"/>
    </row>
    <row r="221" spans="1:9" ht="15.75" thickBot="1" x14ac:dyDescent="0.3">
      <c r="A221" s="10">
        <v>46056</v>
      </c>
      <c r="B221" s="8" t="s">
        <v>26</v>
      </c>
      <c r="C221" s="8" t="s">
        <v>31</v>
      </c>
      <c r="D221" s="8" t="s">
        <v>43</v>
      </c>
      <c r="E221" s="8" t="s">
        <v>138</v>
      </c>
      <c r="F221" s="8" t="s">
        <v>28</v>
      </c>
      <c r="G221" s="9">
        <v>4</v>
      </c>
      <c r="H221" s="8" t="s">
        <v>50</v>
      </c>
      <c r="I221" s="3"/>
    </row>
    <row r="222" spans="1:9" ht="15.75" thickBot="1" x14ac:dyDescent="0.3">
      <c r="A222" s="11">
        <v>46334</v>
      </c>
      <c r="B222" s="5" t="s">
        <v>74</v>
      </c>
      <c r="C222" s="5" t="s">
        <v>10</v>
      </c>
      <c r="D222" s="5" t="s">
        <v>36</v>
      </c>
      <c r="E222" s="5" t="s">
        <v>59</v>
      </c>
      <c r="F222" s="5" t="s">
        <v>47</v>
      </c>
      <c r="G222" s="6">
        <v>14</v>
      </c>
      <c r="H222" s="5" t="s">
        <v>50</v>
      </c>
      <c r="I222" s="3"/>
    </row>
    <row r="223" spans="1:9" ht="15.75" thickBot="1" x14ac:dyDescent="0.3">
      <c r="A223" s="7" t="s">
        <v>156</v>
      </c>
      <c r="B223" s="8" t="s">
        <v>85</v>
      </c>
      <c r="C223" s="8" t="s">
        <v>22</v>
      </c>
      <c r="D223" s="8" t="s">
        <v>23</v>
      </c>
      <c r="E223" s="8" t="s">
        <v>37</v>
      </c>
      <c r="F223" s="8" t="s">
        <v>103</v>
      </c>
      <c r="G223" s="9">
        <v>7</v>
      </c>
      <c r="H223" s="8" t="s">
        <v>50</v>
      </c>
      <c r="I223" s="3"/>
    </row>
    <row r="224" spans="1:9" ht="15.75" thickBot="1" x14ac:dyDescent="0.3">
      <c r="A224" s="4" t="s">
        <v>157</v>
      </c>
      <c r="B224" s="5" t="s">
        <v>140</v>
      </c>
      <c r="C224" s="5" t="s">
        <v>22</v>
      </c>
      <c r="D224" s="5" t="s">
        <v>43</v>
      </c>
      <c r="E224" s="5" t="s">
        <v>115</v>
      </c>
      <c r="F224" s="5" t="s">
        <v>53</v>
      </c>
      <c r="G224" s="6">
        <v>8</v>
      </c>
      <c r="H224" s="5" t="s">
        <v>14</v>
      </c>
      <c r="I224" s="3"/>
    </row>
    <row r="225" spans="1:9" ht="15.75" thickBot="1" x14ac:dyDescent="0.3">
      <c r="A225" s="10">
        <v>46024</v>
      </c>
      <c r="B225" s="8" t="s">
        <v>72</v>
      </c>
      <c r="C225" s="8" t="s">
        <v>10</v>
      </c>
      <c r="D225" s="8" t="s">
        <v>17</v>
      </c>
      <c r="E225" s="8" t="s">
        <v>52</v>
      </c>
      <c r="F225" s="8" t="s">
        <v>41</v>
      </c>
      <c r="G225" s="9">
        <v>12</v>
      </c>
      <c r="H225" s="8" t="s">
        <v>19</v>
      </c>
      <c r="I225" s="3"/>
    </row>
    <row r="226" spans="1:9" ht="15.75" thickBot="1" x14ac:dyDescent="0.3">
      <c r="A226" s="4" t="s">
        <v>158</v>
      </c>
      <c r="B226" s="5" t="s">
        <v>92</v>
      </c>
      <c r="C226" s="5" t="s">
        <v>10</v>
      </c>
      <c r="D226" s="5" t="s">
        <v>43</v>
      </c>
      <c r="E226" s="5" t="s">
        <v>78</v>
      </c>
      <c r="F226" s="5" t="s">
        <v>33</v>
      </c>
      <c r="G226" s="6">
        <v>8</v>
      </c>
      <c r="H226" s="5" t="s">
        <v>19</v>
      </c>
      <c r="I226" s="3"/>
    </row>
    <row r="227" spans="1:9" ht="15.75" thickBot="1" x14ac:dyDescent="0.3">
      <c r="A227" s="7" t="s">
        <v>159</v>
      </c>
      <c r="B227" s="8" t="s">
        <v>48</v>
      </c>
      <c r="C227" s="8" t="s">
        <v>94</v>
      </c>
      <c r="D227" s="8" t="s">
        <v>11</v>
      </c>
      <c r="E227" s="8" t="s">
        <v>37</v>
      </c>
      <c r="F227" s="8" t="s">
        <v>73</v>
      </c>
      <c r="G227" s="9">
        <v>11</v>
      </c>
      <c r="H227" s="8" t="s">
        <v>42</v>
      </c>
      <c r="I227" s="3"/>
    </row>
    <row r="228" spans="1:9" ht="15.75" thickBot="1" x14ac:dyDescent="0.3">
      <c r="A228" s="11">
        <v>46150</v>
      </c>
      <c r="B228" s="5" t="s">
        <v>30</v>
      </c>
      <c r="C228" s="5" t="s">
        <v>27</v>
      </c>
      <c r="D228" s="5" t="s">
        <v>43</v>
      </c>
      <c r="E228" s="5" t="s">
        <v>59</v>
      </c>
      <c r="F228" s="5" t="s">
        <v>64</v>
      </c>
      <c r="G228" s="6">
        <v>2</v>
      </c>
      <c r="H228" s="5" t="s">
        <v>50</v>
      </c>
      <c r="I228" s="3"/>
    </row>
    <row r="229" spans="1:9" ht="15.75" thickBot="1" x14ac:dyDescent="0.3">
      <c r="A229" s="10">
        <v>46360</v>
      </c>
      <c r="B229" s="8" t="s">
        <v>118</v>
      </c>
      <c r="C229" s="8" t="s">
        <v>46</v>
      </c>
      <c r="D229" s="8" t="s">
        <v>23</v>
      </c>
      <c r="E229" s="8" t="s">
        <v>67</v>
      </c>
      <c r="F229" s="8" t="s">
        <v>103</v>
      </c>
      <c r="G229" s="9">
        <v>7</v>
      </c>
      <c r="H229" s="8" t="s">
        <v>14</v>
      </c>
      <c r="I229" s="3"/>
    </row>
    <row r="230" spans="1:9" ht="15.75" thickBot="1" x14ac:dyDescent="0.3">
      <c r="A230" s="11">
        <v>46236</v>
      </c>
      <c r="B230" s="5" t="s">
        <v>118</v>
      </c>
      <c r="C230" s="5" t="s">
        <v>46</v>
      </c>
      <c r="D230" s="5" t="s">
        <v>36</v>
      </c>
      <c r="E230" s="5" t="s">
        <v>59</v>
      </c>
      <c r="F230" s="5" t="s">
        <v>41</v>
      </c>
      <c r="G230" s="6">
        <v>1</v>
      </c>
      <c r="H230" s="5" t="s">
        <v>50</v>
      </c>
      <c r="I230" s="3"/>
    </row>
    <row r="231" spans="1:9" ht="15.75" thickBot="1" x14ac:dyDescent="0.3">
      <c r="A231" s="10">
        <v>46268</v>
      </c>
      <c r="B231" s="8" t="s">
        <v>61</v>
      </c>
      <c r="C231" s="8" t="s">
        <v>111</v>
      </c>
      <c r="D231" s="8" t="s">
        <v>36</v>
      </c>
      <c r="E231" s="8" t="s">
        <v>37</v>
      </c>
      <c r="F231" s="8" t="s">
        <v>86</v>
      </c>
      <c r="G231" s="9">
        <v>11</v>
      </c>
      <c r="H231" s="8" t="s">
        <v>42</v>
      </c>
      <c r="I231" s="3"/>
    </row>
    <row r="232" spans="1:9" ht="15.75" thickBot="1" x14ac:dyDescent="0.3">
      <c r="A232" s="11">
        <v>46271</v>
      </c>
      <c r="B232" s="5" t="s">
        <v>55</v>
      </c>
      <c r="C232" s="5" t="s">
        <v>70</v>
      </c>
      <c r="D232" s="5" t="s">
        <v>43</v>
      </c>
      <c r="E232" s="5" t="s">
        <v>18</v>
      </c>
      <c r="F232" s="5" t="s">
        <v>38</v>
      </c>
      <c r="G232" s="6">
        <v>14</v>
      </c>
      <c r="H232" s="5" t="s">
        <v>14</v>
      </c>
      <c r="I232" s="3"/>
    </row>
    <row r="233" spans="1:9" ht="15.75" thickBot="1" x14ac:dyDescent="0.3">
      <c r="A233" s="10">
        <v>46238</v>
      </c>
      <c r="B233" s="8" t="s">
        <v>58</v>
      </c>
      <c r="C233" s="8" t="s">
        <v>10</v>
      </c>
      <c r="D233" s="8" t="s">
        <v>43</v>
      </c>
      <c r="E233" s="8" t="s">
        <v>83</v>
      </c>
      <c r="F233" s="8" t="s">
        <v>38</v>
      </c>
      <c r="G233" s="9">
        <v>4</v>
      </c>
      <c r="H233" s="8" t="s">
        <v>42</v>
      </c>
      <c r="I233" s="3"/>
    </row>
    <row r="234" spans="1:9" ht="15.75" thickBot="1" x14ac:dyDescent="0.3">
      <c r="A234" s="11">
        <v>46178</v>
      </c>
      <c r="B234" s="5" t="s">
        <v>80</v>
      </c>
      <c r="C234" s="5" t="s">
        <v>22</v>
      </c>
      <c r="D234" s="5" t="s">
        <v>36</v>
      </c>
      <c r="E234" s="5" t="s">
        <v>32</v>
      </c>
      <c r="F234" s="5" t="s">
        <v>49</v>
      </c>
      <c r="G234" s="6">
        <v>5</v>
      </c>
      <c r="H234" s="5" t="s">
        <v>19</v>
      </c>
      <c r="I234" s="3"/>
    </row>
    <row r="235" spans="1:9" ht="15.75" thickBot="1" x14ac:dyDescent="0.3">
      <c r="A235" s="7" t="s">
        <v>91</v>
      </c>
      <c r="B235" s="8" t="s">
        <v>34</v>
      </c>
      <c r="C235" s="8" t="s">
        <v>46</v>
      </c>
      <c r="D235" s="8" t="s">
        <v>43</v>
      </c>
      <c r="E235" s="8" t="s">
        <v>52</v>
      </c>
      <c r="F235" s="8" t="s">
        <v>25</v>
      </c>
      <c r="G235" s="9">
        <v>5</v>
      </c>
      <c r="H235" s="8" t="s">
        <v>50</v>
      </c>
      <c r="I235" s="3"/>
    </row>
    <row r="236" spans="1:9" ht="15.75" thickBot="1" x14ac:dyDescent="0.3">
      <c r="A236" s="11">
        <v>46362</v>
      </c>
      <c r="B236" s="5" t="s">
        <v>61</v>
      </c>
      <c r="C236" s="5" t="s">
        <v>10</v>
      </c>
      <c r="D236" s="5" t="s">
        <v>23</v>
      </c>
      <c r="E236" s="5" t="s">
        <v>59</v>
      </c>
      <c r="F236" s="5" t="s">
        <v>41</v>
      </c>
      <c r="G236" s="6">
        <v>15</v>
      </c>
      <c r="H236" s="5" t="s">
        <v>14</v>
      </c>
      <c r="I236" s="3"/>
    </row>
    <row r="237" spans="1:9" ht="15.75" thickBot="1" x14ac:dyDescent="0.3">
      <c r="A237" s="7" t="s">
        <v>112</v>
      </c>
      <c r="B237" s="8" t="s">
        <v>30</v>
      </c>
      <c r="C237" s="8" t="s">
        <v>10</v>
      </c>
      <c r="D237" s="8" t="s">
        <v>43</v>
      </c>
      <c r="E237" s="8" t="s">
        <v>52</v>
      </c>
      <c r="F237" s="8" t="s">
        <v>41</v>
      </c>
      <c r="G237" s="9">
        <v>14</v>
      </c>
      <c r="H237" s="8" t="s">
        <v>19</v>
      </c>
      <c r="I237" s="3"/>
    </row>
    <row r="238" spans="1:9" ht="15.75" thickBot="1" x14ac:dyDescent="0.3">
      <c r="A238" s="4" t="s">
        <v>147</v>
      </c>
      <c r="B238" s="5" t="s">
        <v>16</v>
      </c>
      <c r="C238" s="5" t="s">
        <v>94</v>
      </c>
      <c r="D238" s="5" t="s">
        <v>36</v>
      </c>
      <c r="E238" s="5" t="s">
        <v>115</v>
      </c>
      <c r="F238" s="5" t="s">
        <v>13</v>
      </c>
      <c r="G238" s="6">
        <v>6</v>
      </c>
      <c r="H238" s="5" t="s">
        <v>50</v>
      </c>
      <c r="I238" s="3"/>
    </row>
    <row r="239" spans="1:9" ht="15.75" thickBot="1" x14ac:dyDescent="0.3">
      <c r="A239" s="7" t="s">
        <v>127</v>
      </c>
      <c r="B239" s="8" t="s">
        <v>21</v>
      </c>
      <c r="C239" s="8" t="s">
        <v>31</v>
      </c>
      <c r="D239" s="8" t="s">
        <v>43</v>
      </c>
      <c r="E239" s="8" t="s">
        <v>83</v>
      </c>
      <c r="F239" s="8" t="s">
        <v>73</v>
      </c>
      <c r="G239" s="9">
        <v>12</v>
      </c>
      <c r="H239" s="8" t="s">
        <v>42</v>
      </c>
      <c r="I239" s="3"/>
    </row>
    <row r="240" spans="1:9" ht="15.75" thickBot="1" x14ac:dyDescent="0.3">
      <c r="A240" s="11">
        <v>46023</v>
      </c>
      <c r="B240" s="5" t="s">
        <v>92</v>
      </c>
      <c r="C240" s="5" t="s">
        <v>62</v>
      </c>
      <c r="D240" s="5" t="s">
        <v>17</v>
      </c>
      <c r="E240" s="5" t="s">
        <v>24</v>
      </c>
      <c r="F240" s="5" t="s">
        <v>41</v>
      </c>
      <c r="G240" s="6">
        <v>9</v>
      </c>
      <c r="H240" s="5" t="s">
        <v>42</v>
      </c>
      <c r="I240" s="3"/>
    </row>
    <row r="241" spans="1:9" ht="15.75" thickBot="1" x14ac:dyDescent="0.3">
      <c r="A241" s="7" t="s">
        <v>160</v>
      </c>
      <c r="B241" s="8" t="s">
        <v>26</v>
      </c>
      <c r="C241" s="8" t="s">
        <v>35</v>
      </c>
      <c r="D241" s="8" t="s">
        <v>11</v>
      </c>
      <c r="E241" s="8" t="s">
        <v>59</v>
      </c>
      <c r="F241" s="8" t="s">
        <v>53</v>
      </c>
      <c r="G241" s="9">
        <v>7</v>
      </c>
      <c r="H241" s="8" t="s">
        <v>19</v>
      </c>
      <c r="I241" s="3"/>
    </row>
    <row r="242" spans="1:9" ht="15.75" thickBot="1" x14ac:dyDescent="0.3">
      <c r="A242" s="4" t="s">
        <v>161</v>
      </c>
      <c r="B242" s="5" t="s">
        <v>88</v>
      </c>
      <c r="C242" s="5" t="s">
        <v>31</v>
      </c>
      <c r="D242" s="5" t="s">
        <v>36</v>
      </c>
      <c r="E242" s="5" t="s">
        <v>83</v>
      </c>
      <c r="F242" s="5" t="s">
        <v>64</v>
      </c>
      <c r="G242" s="6">
        <v>13</v>
      </c>
      <c r="H242" s="5" t="s">
        <v>42</v>
      </c>
      <c r="I242" s="3"/>
    </row>
    <row r="243" spans="1:9" ht="15.75" thickBot="1" x14ac:dyDescent="0.3">
      <c r="A243" s="10">
        <v>46147</v>
      </c>
      <c r="B243" s="8" t="s">
        <v>85</v>
      </c>
      <c r="C243" s="8" t="s">
        <v>35</v>
      </c>
      <c r="D243" s="8" t="s">
        <v>11</v>
      </c>
      <c r="E243" s="8" t="s">
        <v>24</v>
      </c>
      <c r="F243" s="8" t="s">
        <v>41</v>
      </c>
      <c r="G243" s="9">
        <v>8</v>
      </c>
      <c r="H243" s="8" t="s">
        <v>14</v>
      </c>
      <c r="I243" s="3"/>
    </row>
    <row r="244" spans="1:9" ht="15.75" thickBot="1" x14ac:dyDescent="0.3">
      <c r="A244" s="4" t="s">
        <v>119</v>
      </c>
      <c r="B244" s="5" t="s">
        <v>16</v>
      </c>
      <c r="C244" s="5" t="s">
        <v>22</v>
      </c>
      <c r="D244" s="5" t="s">
        <v>17</v>
      </c>
      <c r="E244" s="5" t="s">
        <v>37</v>
      </c>
      <c r="F244" s="5" t="s">
        <v>33</v>
      </c>
      <c r="G244" s="6">
        <v>6</v>
      </c>
      <c r="H244" s="5" t="s">
        <v>42</v>
      </c>
      <c r="I244" s="3"/>
    </row>
    <row r="245" spans="1:9" ht="15.75" thickBot="1" x14ac:dyDescent="0.3">
      <c r="A245" s="7" t="s">
        <v>162</v>
      </c>
      <c r="B245" s="8" t="s">
        <v>72</v>
      </c>
      <c r="C245" s="8" t="s">
        <v>10</v>
      </c>
      <c r="D245" s="8" t="s">
        <v>23</v>
      </c>
      <c r="E245" s="8" t="s">
        <v>37</v>
      </c>
      <c r="F245" s="8" t="s">
        <v>41</v>
      </c>
      <c r="G245" s="9">
        <v>13</v>
      </c>
      <c r="H245" s="8" t="s">
        <v>14</v>
      </c>
      <c r="I245" s="3"/>
    </row>
    <row r="246" spans="1:9" ht="15.75" thickBot="1" x14ac:dyDescent="0.3">
      <c r="A246" s="4" t="s">
        <v>123</v>
      </c>
      <c r="B246" s="5" t="s">
        <v>80</v>
      </c>
      <c r="C246" s="5" t="s">
        <v>10</v>
      </c>
      <c r="D246" s="5" t="s">
        <v>23</v>
      </c>
      <c r="E246" s="5" t="s">
        <v>63</v>
      </c>
      <c r="F246" s="5" t="s">
        <v>41</v>
      </c>
      <c r="G246" s="6">
        <v>7</v>
      </c>
      <c r="H246" s="5" t="s">
        <v>14</v>
      </c>
      <c r="I246" s="3"/>
    </row>
    <row r="247" spans="1:9" ht="15.75" thickBot="1" x14ac:dyDescent="0.3">
      <c r="A247" s="10">
        <v>46303</v>
      </c>
      <c r="B247" s="8" t="s">
        <v>72</v>
      </c>
      <c r="C247" s="8" t="s">
        <v>90</v>
      </c>
      <c r="D247" s="8" t="s">
        <v>23</v>
      </c>
      <c r="E247" s="8" t="s">
        <v>18</v>
      </c>
      <c r="F247" s="8" t="s">
        <v>38</v>
      </c>
      <c r="G247" s="9">
        <v>9</v>
      </c>
      <c r="H247" s="8" t="s">
        <v>14</v>
      </c>
      <c r="I247" s="3"/>
    </row>
    <row r="248" spans="1:9" ht="15.75" thickBot="1" x14ac:dyDescent="0.3">
      <c r="A248" s="11">
        <v>46299</v>
      </c>
      <c r="B248" s="5" t="s">
        <v>21</v>
      </c>
      <c r="C248" s="5" t="s">
        <v>27</v>
      </c>
      <c r="D248" s="5" t="s">
        <v>43</v>
      </c>
      <c r="E248" s="5" t="s">
        <v>78</v>
      </c>
      <c r="F248" s="5" t="s">
        <v>28</v>
      </c>
      <c r="G248" s="6">
        <v>3</v>
      </c>
      <c r="H248" s="5" t="s">
        <v>14</v>
      </c>
      <c r="I248" s="3"/>
    </row>
    <row r="249" spans="1:9" ht="15.75" thickBot="1" x14ac:dyDescent="0.3">
      <c r="A249" s="10">
        <v>46209</v>
      </c>
      <c r="B249" s="8" t="s">
        <v>85</v>
      </c>
      <c r="C249" s="8" t="s">
        <v>66</v>
      </c>
      <c r="D249" s="8" t="s">
        <v>23</v>
      </c>
      <c r="E249" s="8" t="s">
        <v>138</v>
      </c>
      <c r="F249" s="8" t="s">
        <v>33</v>
      </c>
      <c r="G249" s="9">
        <v>11</v>
      </c>
      <c r="H249" s="8" t="s">
        <v>50</v>
      </c>
      <c r="I249" s="3"/>
    </row>
    <row r="250" spans="1:9" ht="15.75" thickBot="1" x14ac:dyDescent="0.3">
      <c r="A250" s="4" t="s">
        <v>102</v>
      </c>
      <c r="B250" s="5" t="s">
        <v>107</v>
      </c>
      <c r="C250" s="5" t="s">
        <v>62</v>
      </c>
      <c r="D250" s="5" t="s">
        <v>23</v>
      </c>
      <c r="E250" s="5" t="s">
        <v>52</v>
      </c>
      <c r="F250" s="5" t="s">
        <v>53</v>
      </c>
      <c r="G250" s="6">
        <v>15</v>
      </c>
      <c r="H250" s="5" t="s">
        <v>42</v>
      </c>
      <c r="I250" s="3"/>
    </row>
    <row r="251" spans="1:9" ht="15.75" thickBot="1" x14ac:dyDescent="0.3">
      <c r="A251" s="7" t="s">
        <v>163</v>
      </c>
      <c r="B251" s="8" t="s">
        <v>9</v>
      </c>
      <c r="C251" s="8" t="s">
        <v>46</v>
      </c>
      <c r="D251" s="8" t="s">
        <v>23</v>
      </c>
      <c r="E251" s="8" t="s">
        <v>63</v>
      </c>
      <c r="F251" s="8" t="s">
        <v>33</v>
      </c>
      <c r="G251" s="9">
        <v>9</v>
      </c>
      <c r="H251" s="8" t="s">
        <v>19</v>
      </c>
      <c r="I251" s="3"/>
    </row>
    <row r="252" spans="1:9" ht="15.75" thickBot="1" x14ac:dyDescent="0.3">
      <c r="A252" s="11">
        <v>46061</v>
      </c>
      <c r="B252" s="5" t="s">
        <v>74</v>
      </c>
      <c r="C252" s="5" t="s">
        <v>46</v>
      </c>
      <c r="D252" s="5" t="s">
        <v>11</v>
      </c>
      <c r="E252" s="5" t="s">
        <v>67</v>
      </c>
      <c r="F252" s="5" t="s">
        <v>41</v>
      </c>
      <c r="G252" s="6">
        <v>1</v>
      </c>
      <c r="H252" s="5" t="s">
        <v>50</v>
      </c>
      <c r="I252" s="3"/>
    </row>
    <row r="253" spans="1:9" ht="15.75" thickBot="1" x14ac:dyDescent="0.3">
      <c r="A253" s="10">
        <v>46300</v>
      </c>
      <c r="B253" s="8" t="s">
        <v>107</v>
      </c>
      <c r="C253" s="8" t="s">
        <v>10</v>
      </c>
      <c r="D253" s="8" t="s">
        <v>36</v>
      </c>
      <c r="E253" s="8" t="s">
        <v>12</v>
      </c>
      <c r="F253" s="8" t="s">
        <v>53</v>
      </c>
      <c r="G253" s="9">
        <v>1</v>
      </c>
      <c r="H253" s="8" t="s">
        <v>14</v>
      </c>
      <c r="I253" s="3"/>
    </row>
    <row r="254" spans="1:9" ht="15.75" thickBot="1" x14ac:dyDescent="0.3">
      <c r="A254" s="4" t="s">
        <v>164</v>
      </c>
      <c r="B254" s="5" t="s">
        <v>48</v>
      </c>
      <c r="C254" s="5" t="s">
        <v>27</v>
      </c>
      <c r="D254" s="5" t="s">
        <v>43</v>
      </c>
      <c r="E254" s="5" t="s">
        <v>67</v>
      </c>
      <c r="F254" s="5" t="s">
        <v>64</v>
      </c>
      <c r="G254" s="6">
        <v>7</v>
      </c>
      <c r="H254" s="5" t="s">
        <v>42</v>
      </c>
      <c r="I254" s="3"/>
    </row>
    <row r="255" spans="1:9" ht="15.75" thickBot="1" x14ac:dyDescent="0.3">
      <c r="A255" s="7" t="s">
        <v>165</v>
      </c>
      <c r="B255" s="8" t="s">
        <v>74</v>
      </c>
      <c r="C255" s="8" t="s">
        <v>22</v>
      </c>
      <c r="D255" s="8" t="s">
        <v>36</v>
      </c>
      <c r="E255" s="8" t="s">
        <v>52</v>
      </c>
      <c r="F255" s="8" t="s">
        <v>13</v>
      </c>
      <c r="G255" s="9">
        <v>13</v>
      </c>
      <c r="H255" s="8" t="s">
        <v>19</v>
      </c>
      <c r="I255" s="3"/>
    </row>
    <row r="256" spans="1:9" ht="15.75" thickBot="1" x14ac:dyDescent="0.3">
      <c r="A256" s="4" t="s">
        <v>105</v>
      </c>
      <c r="B256" s="5" t="s">
        <v>72</v>
      </c>
      <c r="C256" s="5" t="s">
        <v>22</v>
      </c>
      <c r="D256" s="5" t="s">
        <v>36</v>
      </c>
      <c r="E256" s="5" t="s">
        <v>32</v>
      </c>
      <c r="F256" s="5" t="s">
        <v>38</v>
      </c>
      <c r="G256" s="6">
        <v>15</v>
      </c>
      <c r="H256" s="5" t="s">
        <v>19</v>
      </c>
      <c r="I256" s="3"/>
    </row>
    <row r="257" spans="1:9" ht="15.75" thickBot="1" x14ac:dyDescent="0.3">
      <c r="A257" s="10">
        <v>46298</v>
      </c>
      <c r="B257" s="8" t="s">
        <v>72</v>
      </c>
      <c r="C257" s="8" t="s">
        <v>10</v>
      </c>
      <c r="D257" s="8" t="s">
        <v>43</v>
      </c>
      <c r="E257" s="8" t="s">
        <v>59</v>
      </c>
      <c r="F257" s="8" t="s">
        <v>28</v>
      </c>
      <c r="G257" s="9">
        <v>9</v>
      </c>
      <c r="H257" s="8" t="s">
        <v>50</v>
      </c>
      <c r="I257" s="3"/>
    </row>
    <row r="258" spans="1:9" ht="15.75" thickBot="1" x14ac:dyDescent="0.3">
      <c r="A258" s="11">
        <v>46205</v>
      </c>
      <c r="B258" s="5" t="s">
        <v>9</v>
      </c>
      <c r="C258" s="5" t="s">
        <v>27</v>
      </c>
      <c r="D258" s="5" t="s">
        <v>36</v>
      </c>
      <c r="E258" s="5" t="s">
        <v>24</v>
      </c>
      <c r="F258" s="5" t="s">
        <v>47</v>
      </c>
      <c r="G258" s="6">
        <v>15</v>
      </c>
      <c r="H258" s="5" t="s">
        <v>42</v>
      </c>
      <c r="I258" s="3"/>
    </row>
    <row r="259" spans="1:9" ht="15.75" thickBot="1" x14ac:dyDescent="0.3">
      <c r="A259" s="7" t="s">
        <v>166</v>
      </c>
      <c r="B259" s="8" t="s">
        <v>21</v>
      </c>
      <c r="C259" s="8" t="s">
        <v>46</v>
      </c>
      <c r="D259" s="8" t="s">
        <v>23</v>
      </c>
      <c r="E259" s="8" t="s">
        <v>83</v>
      </c>
      <c r="F259" s="8" t="s">
        <v>86</v>
      </c>
      <c r="G259" s="9">
        <v>15</v>
      </c>
      <c r="H259" s="8" t="s">
        <v>14</v>
      </c>
      <c r="I259" s="3"/>
    </row>
    <row r="260" spans="1:9" ht="15.75" thickBot="1" x14ac:dyDescent="0.3">
      <c r="A260" s="4" t="s">
        <v>167</v>
      </c>
      <c r="B260" s="5" t="s">
        <v>118</v>
      </c>
      <c r="C260" s="5" t="s">
        <v>22</v>
      </c>
      <c r="D260" s="5" t="s">
        <v>36</v>
      </c>
      <c r="E260" s="5" t="s">
        <v>63</v>
      </c>
      <c r="F260" s="5" t="s">
        <v>53</v>
      </c>
      <c r="G260" s="6">
        <v>13</v>
      </c>
      <c r="H260" s="5" t="s">
        <v>50</v>
      </c>
      <c r="I260" s="3"/>
    </row>
    <row r="261" spans="1:9" ht="15.75" thickBot="1" x14ac:dyDescent="0.3">
      <c r="A261" s="7" t="s">
        <v>116</v>
      </c>
      <c r="B261" s="8" t="s">
        <v>21</v>
      </c>
      <c r="C261" s="8" t="s">
        <v>94</v>
      </c>
      <c r="D261" s="8" t="s">
        <v>11</v>
      </c>
      <c r="E261" s="8" t="s">
        <v>52</v>
      </c>
      <c r="F261" s="8" t="s">
        <v>25</v>
      </c>
      <c r="G261" s="9">
        <v>6</v>
      </c>
      <c r="H261" s="8" t="s">
        <v>14</v>
      </c>
      <c r="I261" s="3"/>
    </row>
    <row r="262" spans="1:9" ht="15.75" thickBot="1" x14ac:dyDescent="0.3">
      <c r="A262" s="4" t="s">
        <v>119</v>
      </c>
      <c r="B262" s="5" t="s">
        <v>85</v>
      </c>
      <c r="C262" s="5" t="s">
        <v>94</v>
      </c>
      <c r="D262" s="5" t="s">
        <v>43</v>
      </c>
      <c r="E262" s="5" t="s">
        <v>138</v>
      </c>
      <c r="F262" s="5" t="s">
        <v>41</v>
      </c>
      <c r="G262" s="6">
        <v>6</v>
      </c>
      <c r="H262" s="5" t="s">
        <v>50</v>
      </c>
      <c r="I262" s="3"/>
    </row>
    <row r="263" spans="1:9" ht="15.75" thickBot="1" x14ac:dyDescent="0.3">
      <c r="A263" s="7" t="s">
        <v>168</v>
      </c>
      <c r="B263" s="8" t="s">
        <v>30</v>
      </c>
      <c r="C263" s="8" t="s">
        <v>46</v>
      </c>
      <c r="D263" s="8" t="s">
        <v>11</v>
      </c>
      <c r="E263" s="8" t="s">
        <v>24</v>
      </c>
      <c r="F263" s="8" t="s">
        <v>49</v>
      </c>
      <c r="G263" s="9">
        <v>10</v>
      </c>
      <c r="H263" s="8" t="s">
        <v>19</v>
      </c>
      <c r="I263" s="3"/>
    </row>
    <row r="264" spans="1:9" ht="15.75" thickBot="1" x14ac:dyDescent="0.3">
      <c r="A264" s="4" t="s">
        <v>135</v>
      </c>
      <c r="B264" s="5" t="s">
        <v>69</v>
      </c>
      <c r="C264" s="5" t="s">
        <v>66</v>
      </c>
      <c r="D264" s="5" t="s">
        <v>23</v>
      </c>
      <c r="E264" s="5" t="s">
        <v>32</v>
      </c>
      <c r="F264" s="5" t="s">
        <v>56</v>
      </c>
      <c r="G264" s="6">
        <v>4</v>
      </c>
      <c r="H264" s="5" t="s">
        <v>50</v>
      </c>
      <c r="I264" s="3"/>
    </row>
    <row r="265" spans="1:9" ht="15.75" thickBot="1" x14ac:dyDescent="0.3">
      <c r="A265" s="7" t="s">
        <v>169</v>
      </c>
      <c r="B265" s="8" t="s">
        <v>21</v>
      </c>
      <c r="C265" s="8" t="s">
        <v>94</v>
      </c>
      <c r="D265" s="8" t="s">
        <v>43</v>
      </c>
      <c r="E265" s="8" t="s">
        <v>12</v>
      </c>
      <c r="F265" s="8" t="s">
        <v>86</v>
      </c>
      <c r="G265" s="9">
        <v>7</v>
      </c>
      <c r="H265" s="8" t="s">
        <v>50</v>
      </c>
      <c r="I265" s="3"/>
    </row>
    <row r="266" spans="1:9" ht="15.75" thickBot="1" x14ac:dyDescent="0.3">
      <c r="A266" s="4" t="s">
        <v>170</v>
      </c>
      <c r="B266" s="5" t="s">
        <v>72</v>
      </c>
      <c r="C266" s="5" t="s">
        <v>90</v>
      </c>
      <c r="D266" s="5" t="s">
        <v>36</v>
      </c>
      <c r="E266" s="5" t="s">
        <v>24</v>
      </c>
      <c r="F266" s="5" t="s">
        <v>41</v>
      </c>
      <c r="G266" s="6">
        <v>10</v>
      </c>
      <c r="H266" s="5" t="s">
        <v>19</v>
      </c>
      <c r="I266" s="3"/>
    </row>
    <row r="267" spans="1:9" ht="15.75" thickBot="1" x14ac:dyDescent="0.3">
      <c r="A267" s="7" t="s">
        <v>161</v>
      </c>
      <c r="B267" s="8" t="s">
        <v>61</v>
      </c>
      <c r="C267" s="8" t="s">
        <v>46</v>
      </c>
      <c r="D267" s="8" t="s">
        <v>11</v>
      </c>
      <c r="E267" s="8" t="s">
        <v>115</v>
      </c>
      <c r="F267" s="8" t="s">
        <v>33</v>
      </c>
      <c r="G267" s="9">
        <v>10</v>
      </c>
      <c r="H267" s="8" t="s">
        <v>19</v>
      </c>
      <c r="I267" s="3"/>
    </row>
    <row r="268" spans="1:9" ht="15.75" thickBot="1" x14ac:dyDescent="0.3">
      <c r="A268" s="4" t="s">
        <v>166</v>
      </c>
      <c r="B268" s="5" t="s">
        <v>97</v>
      </c>
      <c r="C268" s="5" t="s">
        <v>46</v>
      </c>
      <c r="D268" s="5" t="s">
        <v>43</v>
      </c>
      <c r="E268" s="5" t="s">
        <v>52</v>
      </c>
      <c r="F268" s="5" t="s">
        <v>25</v>
      </c>
      <c r="G268" s="6">
        <v>15</v>
      </c>
      <c r="H268" s="5" t="s">
        <v>50</v>
      </c>
      <c r="I268" s="3"/>
    </row>
    <row r="269" spans="1:9" ht="15.75" thickBot="1" x14ac:dyDescent="0.3">
      <c r="A269" s="7" t="s">
        <v>98</v>
      </c>
      <c r="B269" s="8" t="s">
        <v>97</v>
      </c>
      <c r="C269" s="8" t="s">
        <v>94</v>
      </c>
      <c r="D269" s="8" t="s">
        <v>23</v>
      </c>
      <c r="E269" s="8" t="s">
        <v>83</v>
      </c>
      <c r="F269" s="8" t="s">
        <v>28</v>
      </c>
      <c r="G269" s="9">
        <v>1</v>
      </c>
      <c r="H269" s="8" t="s">
        <v>19</v>
      </c>
      <c r="I269" s="3"/>
    </row>
    <row r="270" spans="1:9" ht="15.75" thickBot="1" x14ac:dyDescent="0.3">
      <c r="A270" s="4" t="s">
        <v>150</v>
      </c>
      <c r="B270" s="5" t="s">
        <v>34</v>
      </c>
      <c r="C270" s="5" t="s">
        <v>94</v>
      </c>
      <c r="D270" s="5" t="s">
        <v>17</v>
      </c>
      <c r="E270" s="5" t="s">
        <v>44</v>
      </c>
      <c r="F270" s="5" t="s">
        <v>13</v>
      </c>
      <c r="G270" s="6">
        <v>2</v>
      </c>
      <c r="H270" s="5" t="s">
        <v>42</v>
      </c>
      <c r="I270" s="3"/>
    </row>
    <row r="271" spans="1:9" ht="15.75" thickBot="1" x14ac:dyDescent="0.3">
      <c r="A271" s="10">
        <v>46030</v>
      </c>
      <c r="B271" s="8" t="s">
        <v>72</v>
      </c>
      <c r="C271" s="8" t="s">
        <v>66</v>
      </c>
      <c r="D271" s="8" t="s">
        <v>36</v>
      </c>
      <c r="E271" s="8" t="s">
        <v>63</v>
      </c>
      <c r="F271" s="8" t="s">
        <v>73</v>
      </c>
      <c r="G271" s="9">
        <v>12</v>
      </c>
      <c r="H271" s="8" t="s">
        <v>42</v>
      </c>
      <c r="I271" s="3"/>
    </row>
    <row r="272" spans="1:9" ht="15.75" thickBot="1" x14ac:dyDescent="0.3">
      <c r="A272" s="11">
        <v>46148</v>
      </c>
      <c r="B272" s="5" t="s">
        <v>101</v>
      </c>
      <c r="C272" s="5" t="s">
        <v>46</v>
      </c>
      <c r="D272" s="5" t="s">
        <v>43</v>
      </c>
      <c r="E272" s="5" t="s">
        <v>37</v>
      </c>
      <c r="F272" s="5" t="s">
        <v>49</v>
      </c>
      <c r="G272" s="6">
        <v>15</v>
      </c>
      <c r="H272" s="5" t="s">
        <v>14</v>
      </c>
      <c r="I272" s="3"/>
    </row>
    <row r="273" spans="1:9" ht="15.75" thickBot="1" x14ac:dyDescent="0.3">
      <c r="A273" s="7" t="s">
        <v>135</v>
      </c>
      <c r="B273" s="8" t="s">
        <v>21</v>
      </c>
      <c r="C273" s="8" t="s">
        <v>22</v>
      </c>
      <c r="D273" s="8" t="s">
        <v>36</v>
      </c>
      <c r="E273" s="8" t="s">
        <v>138</v>
      </c>
      <c r="F273" s="8" t="s">
        <v>49</v>
      </c>
      <c r="G273" s="9">
        <v>13</v>
      </c>
      <c r="H273" s="8" t="s">
        <v>50</v>
      </c>
      <c r="I273" s="3"/>
    </row>
    <row r="274" spans="1:9" ht="15.75" thickBot="1" x14ac:dyDescent="0.3">
      <c r="A274" s="4" t="s">
        <v>100</v>
      </c>
      <c r="B274" s="5" t="s">
        <v>92</v>
      </c>
      <c r="C274" s="5" t="s">
        <v>94</v>
      </c>
      <c r="D274" s="5" t="s">
        <v>23</v>
      </c>
      <c r="E274" s="5" t="s">
        <v>24</v>
      </c>
      <c r="F274" s="5" t="s">
        <v>13</v>
      </c>
      <c r="G274" s="6">
        <v>3</v>
      </c>
      <c r="H274" s="5" t="s">
        <v>42</v>
      </c>
      <c r="I274" s="3"/>
    </row>
    <row r="275" spans="1:9" ht="15.75" thickBot="1" x14ac:dyDescent="0.3">
      <c r="A275" s="10">
        <v>46149</v>
      </c>
      <c r="B275" s="8" t="s">
        <v>85</v>
      </c>
      <c r="C275" s="8" t="s">
        <v>10</v>
      </c>
      <c r="D275" s="8" t="s">
        <v>36</v>
      </c>
      <c r="E275" s="8" t="s">
        <v>138</v>
      </c>
      <c r="F275" s="8" t="s">
        <v>86</v>
      </c>
      <c r="G275" s="9">
        <v>3</v>
      </c>
      <c r="H275" s="8" t="s">
        <v>42</v>
      </c>
      <c r="I275" s="3"/>
    </row>
    <row r="276" spans="1:9" ht="15.75" thickBot="1" x14ac:dyDescent="0.3">
      <c r="A276" s="4" t="s">
        <v>54</v>
      </c>
      <c r="B276" s="5" t="s">
        <v>118</v>
      </c>
      <c r="C276" s="5" t="s">
        <v>22</v>
      </c>
      <c r="D276" s="5" t="s">
        <v>11</v>
      </c>
      <c r="E276" s="5" t="s">
        <v>52</v>
      </c>
      <c r="F276" s="5" t="s">
        <v>38</v>
      </c>
      <c r="G276" s="6">
        <v>12</v>
      </c>
      <c r="H276" s="5" t="s">
        <v>50</v>
      </c>
      <c r="I276" s="3"/>
    </row>
    <row r="277" spans="1:9" ht="15.75" thickBot="1" x14ac:dyDescent="0.3">
      <c r="A277" s="7" t="s">
        <v>15</v>
      </c>
      <c r="B277" s="8" t="s">
        <v>40</v>
      </c>
      <c r="C277" s="8" t="s">
        <v>10</v>
      </c>
      <c r="D277" s="8" t="s">
        <v>36</v>
      </c>
      <c r="E277" s="8" t="s">
        <v>83</v>
      </c>
      <c r="F277" s="8" t="s">
        <v>25</v>
      </c>
      <c r="G277" s="9">
        <v>8</v>
      </c>
      <c r="H277" s="8" t="s">
        <v>42</v>
      </c>
      <c r="I277" s="3"/>
    </row>
    <row r="278" spans="1:9" ht="15.75" thickBot="1" x14ac:dyDescent="0.3">
      <c r="A278" s="4" t="s">
        <v>89</v>
      </c>
      <c r="B278" s="5" t="s">
        <v>88</v>
      </c>
      <c r="C278" s="5" t="s">
        <v>94</v>
      </c>
      <c r="D278" s="5" t="s">
        <v>36</v>
      </c>
      <c r="E278" s="5" t="s">
        <v>115</v>
      </c>
      <c r="F278" s="5" t="s">
        <v>86</v>
      </c>
      <c r="G278" s="6">
        <v>4</v>
      </c>
      <c r="H278" s="5" t="s">
        <v>14</v>
      </c>
      <c r="I278" s="3"/>
    </row>
    <row r="279" spans="1:9" ht="15.75" thickBot="1" x14ac:dyDescent="0.3">
      <c r="A279" s="7" t="s">
        <v>81</v>
      </c>
      <c r="B279" s="8" t="s">
        <v>21</v>
      </c>
      <c r="C279" s="8" t="s">
        <v>62</v>
      </c>
      <c r="D279" s="8" t="s">
        <v>23</v>
      </c>
      <c r="E279" s="8" t="s">
        <v>24</v>
      </c>
      <c r="F279" s="8" t="s">
        <v>53</v>
      </c>
      <c r="G279" s="9">
        <v>9</v>
      </c>
      <c r="H279" s="8" t="s">
        <v>19</v>
      </c>
      <c r="I279" s="3"/>
    </row>
    <row r="280" spans="1:9" ht="15.75" thickBot="1" x14ac:dyDescent="0.3">
      <c r="A280" s="11">
        <v>46266</v>
      </c>
      <c r="B280" s="5" t="s">
        <v>40</v>
      </c>
      <c r="C280" s="5" t="s">
        <v>22</v>
      </c>
      <c r="D280" s="5" t="s">
        <v>17</v>
      </c>
      <c r="E280" s="5" t="s">
        <v>32</v>
      </c>
      <c r="F280" s="5" t="s">
        <v>25</v>
      </c>
      <c r="G280" s="6">
        <v>7</v>
      </c>
      <c r="H280" s="5" t="s">
        <v>42</v>
      </c>
      <c r="I280" s="3"/>
    </row>
    <row r="281" spans="1:9" ht="15.75" thickBot="1" x14ac:dyDescent="0.3">
      <c r="A281" s="10">
        <v>46028</v>
      </c>
      <c r="B281" s="8" t="s">
        <v>40</v>
      </c>
      <c r="C281" s="8" t="s">
        <v>10</v>
      </c>
      <c r="D281" s="8" t="s">
        <v>43</v>
      </c>
      <c r="E281" s="8" t="s">
        <v>32</v>
      </c>
      <c r="F281" s="8" t="s">
        <v>38</v>
      </c>
      <c r="G281" s="9">
        <v>8</v>
      </c>
      <c r="H281" s="8" t="s">
        <v>14</v>
      </c>
      <c r="I281" s="3"/>
    </row>
    <row r="282" spans="1:9" ht="15.75" thickBot="1" x14ac:dyDescent="0.3">
      <c r="A282" s="4" t="s">
        <v>171</v>
      </c>
      <c r="B282" s="5" t="s">
        <v>140</v>
      </c>
      <c r="C282" s="5" t="s">
        <v>46</v>
      </c>
      <c r="D282" s="5" t="s">
        <v>43</v>
      </c>
      <c r="E282" s="5" t="s">
        <v>24</v>
      </c>
      <c r="F282" s="5" t="s">
        <v>103</v>
      </c>
      <c r="G282" s="6">
        <v>6</v>
      </c>
      <c r="H282" s="5" t="s">
        <v>14</v>
      </c>
      <c r="I282" s="3"/>
    </row>
    <row r="283" spans="1:9" ht="15.75" thickBot="1" x14ac:dyDescent="0.3">
      <c r="A283" s="10">
        <v>46175</v>
      </c>
      <c r="B283" s="8" t="s">
        <v>34</v>
      </c>
      <c r="C283" s="8" t="s">
        <v>10</v>
      </c>
      <c r="D283" s="8" t="s">
        <v>17</v>
      </c>
      <c r="E283" s="8" t="s">
        <v>32</v>
      </c>
      <c r="F283" s="8" t="s">
        <v>28</v>
      </c>
      <c r="G283" s="9">
        <v>3</v>
      </c>
      <c r="H283" s="8" t="s">
        <v>14</v>
      </c>
      <c r="I283" s="3"/>
    </row>
    <row r="284" spans="1:9" ht="15.75" thickBot="1" x14ac:dyDescent="0.3">
      <c r="A284" s="11">
        <v>46206</v>
      </c>
      <c r="B284" s="5" t="s">
        <v>57</v>
      </c>
      <c r="C284" s="5" t="s">
        <v>111</v>
      </c>
      <c r="D284" s="5" t="s">
        <v>11</v>
      </c>
      <c r="E284" s="5" t="s">
        <v>52</v>
      </c>
      <c r="F284" s="5" t="s">
        <v>41</v>
      </c>
      <c r="G284" s="6">
        <v>3</v>
      </c>
      <c r="H284" s="5" t="s">
        <v>42</v>
      </c>
      <c r="I284" s="3"/>
    </row>
    <row r="285" spans="1:9" ht="15.75" thickBot="1" x14ac:dyDescent="0.3">
      <c r="A285" s="10">
        <v>46296</v>
      </c>
      <c r="B285" s="8" t="s">
        <v>107</v>
      </c>
      <c r="C285" s="8" t="s">
        <v>10</v>
      </c>
      <c r="D285" s="8" t="s">
        <v>11</v>
      </c>
      <c r="E285" s="8" t="s">
        <v>24</v>
      </c>
      <c r="F285" s="8" t="s">
        <v>86</v>
      </c>
      <c r="G285" s="9">
        <v>7</v>
      </c>
      <c r="H285" s="8" t="s">
        <v>14</v>
      </c>
      <c r="I285" s="3"/>
    </row>
    <row r="286" spans="1:9" ht="15.75" thickBot="1" x14ac:dyDescent="0.3">
      <c r="A286" s="4" t="s">
        <v>65</v>
      </c>
      <c r="B286" s="5" t="s">
        <v>58</v>
      </c>
      <c r="C286" s="5" t="s">
        <v>10</v>
      </c>
      <c r="D286" s="5" t="s">
        <v>36</v>
      </c>
      <c r="E286" s="5" t="s">
        <v>32</v>
      </c>
      <c r="F286" s="5" t="s">
        <v>86</v>
      </c>
      <c r="G286" s="6">
        <v>5</v>
      </c>
      <c r="H286" s="5" t="s">
        <v>50</v>
      </c>
      <c r="I286" s="3"/>
    </row>
    <row r="287" spans="1:9" ht="15.75" thickBot="1" x14ac:dyDescent="0.3">
      <c r="A287" s="7" t="s">
        <v>134</v>
      </c>
      <c r="B287" s="8" t="s">
        <v>58</v>
      </c>
      <c r="C287" s="8" t="s">
        <v>70</v>
      </c>
      <c r="D287" s="8" t="s">
        <v>11</v>
      </c>
      <c r="E287" s="8" t="s">
        <v>52</v>
      </c>
      <c r="F287" s="8" t="s">
        <v>56</v>
      </c>
      <c r="G287" s="9">
        <v>3</v>
      </c>
      <c r="H287" s="8" t="s">
        <v>19</v>
      </c>
      <c r="I287" s="3"/>
    </row>
    <row r="288" spans="1:9" ht="15.75" thickBot="1" x14ac:dyDescent="0.3">
      <c r="A288" s="4" t="s">
        <v>172</v>
      </c>
      <c r="B288" s="5" t="s">
        <v>72</v>
      </c>
      <c r="C288" s="5" t="s">
        <v>90</v>
      </c>
      <c r="D288" s="5" t="s">
        <v>11</v>
      </c>
      <c r="E288" s="5" t="s">
        <v>32</v>
      </c>
      <c r="F288" s="5" t="s">
        <v>13</v>
      </c>
      <c r="G288" s="6">
        <v>12</v>
      </c>
      <c r="H288" s="5" t="s">
        <v>19</v>
      </c>
      <c r="I288" s="3"/>
    </row>
    <row r="289" spans="1:9" ht="15.75" thickBot="1" x14ac:dyDescent="0.3">
      <c r="A289" s="7" t="s">
        <v>130</v>
      </c>
      <c r="B289" s="8" t="s">
        <v>69</v>
      </c>
      <c r="C289" s="8" t="s">
        <v>10</v>
      </c>
      <c r="D289" s="8" t="s">
        <v>36</v>
      </c>
      <c r="E289" s="8" t="s">
        <v>24</v>
      </c>
      <c r="F289" s="8" t="s">
        <v>33</v>
      </c>
      <c r="G289" s="9">
        <v>9</v>
      </c>
      <c r="H289" s="8" t="s">
        <v>19</v>
      </c>
      <c r="I289" s="3"/>
    </row>
    <row r="290" spans="1:9" ht="15.75" thickBot="1" x14ac:dyDescent="0.3">
      <c r="A290" s="11">
        <v>46360</v>
      </c>
      <c r="B290" s="5" t="s">
        <v>92</v>
      </c>
      <c r="C290" s="5" t="s">
        <v>46</v>
      </c>
      <c r="D290" s="5" t="s">
        <v>11</v>
      </c>
      <c r="E290" s="5" t="s">
        <v>52</v>
      </c>
      <c r="F290" s="5" t="s">
        <v>47</v>
      </c>
      <c r="G290" s="6">
        <v>3</v>
      </c>
      <c r="H290" s="5" t="s">
        <v>50</v>
      </c>
      <c r="I290" s="3"/>
    </row>
    <row r="291" spans="1:9" ht="15.75" thickBot="1" x14ac:dyDescent="0.3">
      <c r="A291" s="10">
        <v>46174</v>
      </c>
      <c r="B291" s="8" t="s">
        <v>57</v>
      </c>
      <c r="C291" s="8" t="s">
        <v>46</v>
      </c>
      <c r="D291" s="8" t="s">
        <v>11</v>
      </c>
      <c r="E291" s="8" t="s">
        <v>12</v>
      </c>
      <c r="F291" s="8" t="s">
        <v>38</v>
      </c>
      <c r="G291" s="9">
        <v>9</v>
      </c>
      <c r="H291" s="8" t="s">
        <v>14</v>
      </c>
      <c r="I291" s="3"/>
    </row>
    <row r="292" spans="1:9" ht="15.75" thickBot="1" x14ac:dyDescent="0.3">
      <c r="A292" s="11">
        <v>46268</v>
      </c>
      <c r="B292" s="5" t="s">
        <v>55</v>
      </c>
      <c r="C292" s="5" t="s">
        <v>22</v>
      </c>
      <c r="D292" s="5" t="s">
        <v>36</v>
      </c>
      <c r="E292" s="5" t="s">
        <v>63</v>
      </c>
      <c r="F292" s="5" t="s">
        <v>33</v>
      </c>
      <c r="G292" s="6">
        <v>2</v>
      </c>
      <c r="H292" s="5" t="s">
        <v>19</v>
      </c>
      <c r="I292" s="3"/>
    </row>
    <row r="293" spans="1:9" ht="15.75" thickBot="1" x14ac:dyDescent="0.3">
      <c r="A293" s="10">
        <v>46271</v>
      </c>
      <c r="B293" s="8" t="s">
        <v>26</v>
      </c>
      <c r="C293" s="8" t="s">
        <v>62</v>
      </c>
      <c r="D293" s="8" t="s">
        <v>36</v>
      </c>
      <c r="E293" s="8" t="s">
        <v>12</v>
      </c>
      <c r="F293" s="8" t="s">
        <v>73</v>
      </c>
      <c r="G293" s="9">
        <v>6</v>
      </c>
      <c r="H293" s="8" t="s">
        <v>14</v>
      </c>
      <c r="I293" s="3"/>
    </row>
    <row r="294" spans="1:9" ht="15.75" thickBot="1" x14ac:dyDescent="0.3">
      <c r="A294" s="11">
        <v>46298</v>
      </c>
      <c r="B294" s="5" t="s">
        <v>48</v>
      </c>
      <c r="C294" s="5" t="s">
        <v>10</v>
      </c>
      <c r="D294" s="5" t="s">
        <v>17</v>
      </c>
      <c r="E294" s="5" t="s">
        <v>138</v>
      </c>
      <c r="F294" s="5" t="s">
        <v>103</v>
      </c>
      <c r="G294" s="6">
        <v>14</v>
      </c>
      <c r="H294" s="5" t="s">
        <v>19</v>
      </c>
      <c r="I294" s="3"/>
    </row>
    <row r="295" spans="1:9" ht="15.75" thickBot="1" x14ac:dyDescent="0.3">
      <c r="A295" s="7" t="s">
        <v>158</v>
      </c>
      <c r="B295" s="8" t="s">
        <v>16</v>
      </c>
      <c r="C295" s="8" t="s">
        <v>10</v>
      </c>
      <c r="D295" s="8" t="s">
        <v>11</v>
      </c>
      <c r="E295" s="8" t="s">
        <v>83</v>
      </c>
      <c r="F295" s="8" t="s">
        <v>73</v>
      </c>
      <c r="G295" s="9">
        <v>7</v>
      </c>
      <c r="H295" s="8" t="s">
        <v>42</v>
      </c>
      <c r="I295" s="3"/>
    </row>
    <row r="296" spans="1:9" ht="15.75" thickBot="1" x14ac:dyDescent="0.3">
      <c r="A296" s="4" t="s">
        <v>173</v>
      </c>
      <c r="B296" s="5" t="s">
        <v>26</v>
      </c>
      <c r="C296" s="5" t="s">
        <v>94</v>
      </c>
      <c r="D296" s="5" t="s">
        <v>11</v>
      </c>
      <c r="E296" s="5" t="s">
        <v>63</v>
      </c>
      <c r="F296" s="5" t="s">
        <v>86</v>
      </c>
      <c r="G296" s="6">
        <v>8</v>
      </c>
      <c r="H296" s="5" t="s">
        <v>50</v>
      </c>
      <c r="I296" s="3"/>
    </row>
    <row r="297" spans="1:9" ht="15.75" thickBot="1" x14ac:dyDescent="0.3">
      <c r="A297" s="10">
        <v>46147</v>
      </c>
      <c r="B297" s="8" t="s">
        <v>61</v>
      </c>
      <c r="C297" s="8" t="s">
        <v>62</v>
      </c>
      <c r="D297" s="8" t="s">
        <v>11</v>
      </c>
      <c r="E297" s="8" t="s">
        <v>83</v>
      </c>
      <c r="F297" s="8" t="s">
        <v>33</v>
      </c>
      <c r="G297" s="9">
        <v>1</v>
      </c>
      <c r="H297" s="8" t="s">
        <v>50</v>
      </c>
      <c r="I297" s="3"/>
    </row>
    <row r="298" spans="1:9" ht="15.75" thickBot="1" x14ac:dyDescent="0.3">
      <c r="A298" s="4" t="s">
        <v>84</v>
      </c>
      <c r="B298" s="5" t="s">
        <v>101</v>
      </c>
      <c r="C298" s="5" t="s">
        <v>10</v>
      </c>
      <c r="D298" s="5" t="s">
        <v>11</v>
      </c>
      <c r="E298" s="5" t="s">
        <v>24</v>
      </c>
      <c r="F298" s="5" t="s">
        <v>53</v>
      </c>
      <c r="G298" s="6">
        <v>9</v>
      </c>
      <c r="H298" s="5" t="s">
        <v>14</v>
      </c>
      <c r="I298" s="3"/>
    </row>
    <row r="299" spans="1:9" ht="15.75" thickBot="1" x14ac:dyDescent="0.3">
      <c r="A299" s="7" t="s">
        <v>137</v>
      </c>
      <c r="B299" s="8" t="s">
        <v>61</v>
      </c>
      <c r="C299" s="8" t="s">
        <v>31</v>
      </c>
      <c r="D299" s="8" t="s">
        <v>11</v>
      </c>
      <c r="E299" s="8" t="s">
        <v>59</v>
      </c>
      <c r="F299" s="8" t="s">
        <v>53</v>
      </c>
      <c r="G299" s="9">
        <v>1</v>
      </c>
      <c r="H299" s="8" t="s">
        <v>42</v>
      </c>
      <c r="I299" s="3"/>
    </row>
    <row r="300" spans="1:9" ht="15.75" thickBot="1" x14ac:dyDescent="0.3">
      <c r="A300" s="11">
        <v>46061</v>
      </c>
      <c r="B300" s="5" t="s">
        <v>97</v>
      </c>
      <c r="C300" s="5" t="s">
        <v>46</v>
      </c>
      <c r="D300" s="5" t="s">
        <v>11</v>
      </c>
      <c r="E300" s="5" t="s">
        <v>18</v>
      </c>
      <c r="F300" s="5" t="s">
        <v>49</v>
      </c>
      <c r="G300" s="6">
        <v>14</v>
      </c>
      <c r="H300" s="5" t="s">
        <v>42</v>
      </c>
      <c r="I300" s="3"/>
    </row>
    <row r="301" spans="1:9" ht="15.75" thickBot="1" x14ac:dyDescent="0.3">
      <c r="A301" s="10">
        <v>46059</v>
      </c>
      <c r="B301" s="8" t="s">
        <v>92</v>
      </c>
      <c r="C301" s="8" t="s">
        <v>70</v>
      </c>
      <c r="D301" s="8" t="s">
        <v>43</v>
      </c>
      <c r="E301" s="8" t="s">
        <v>44</v>
      </c>
      <c r="F301" s="8" t="s">
        <v>38</v>
      </c>
      <c r="G301" s="9">
        <v>7</v>
      </c>
      <c r="H301" s="8" t="s">
        <v>19</v>
      </c>
      <c r="I301" s="3"/>
    </row>
    <row r="302" spans="1:9" ht="15.75" thickBot="1" x14ac:dyDescent="0.3">
      <c r="A302" s="4" t="s">
        <v>174</v>
      </c>
      <c r="B302" s="5" t="s">
        <v>30</v>
      </c>
      <c r="C302" s="5" t="s">
        <v>111</v>
      </c>
      <c r="D302" s="5" t="s">
        <v>17</v>
      </c>
      <c r="E302" s="5" t="s">
        <v>32</v>
      </c>
      <c r="F302" s="5" t="s">
        <v>28</v>
      </c>
      <c r="G302" s="6">
        <v>6</v>
      </c>
      <c r="H302" s="5" t="s">
        <v>14</v>
      </c>
      <c r="I302" s="3"/>
    </row>
    <row r="303" spans="1:9" ht="15.75" thickBot="1" x14ac:dyDescent="0.3">
      <c r="A303" s="10">
        <v>46118</v>
      </c>
      <c r="B303" s="8" t="s">
        <v>97</v>
      </c>
      <c r="C303" s="8" t="s">
        <v>66</v>
      </c>
      <c r="D303" s="8" t="s">
        <v>11</v>
      </c>
      <c r="E303" s="8" t="s">
        <v>32</v>
      </c>
      <c r="F303" s="8" t="s">
        <v>64</v>
      </c>
      <c r="G303" s="9">
        <v>6</v>
      </c>
      <c r="H303" s="8" t="s">
        <v>19</v>
      </c>
      <c r="I303" s="3"/>
    </row>
    <row r="304" spans="1:9" ht="15.75" thickBot="1" x14ac:dyDescent="0.3">
      <c r="A304" s="4" t="s">
        <v>8</v>
      </c>
      <c r="B304" s="5" t="s">
        <v>57</v>
      </c>
      <c r="C304" s="5" t="s">
        <v>70</v>
      </c>
      <c r="D304" s="5" t="s">
        <v>11</v>
      </c>
      <c r="E304" s="5" t="s">
        <v>52</v>
      </c>
      <c r="F304" s="5" t="s">
        <v>64</v>
      </c>
      <c r="G304" s="6">
        <v>4</v>
      </c>
      <c r="H304" s="5" t="s">
        <v>14</v>
      </c>
      <c r="I304" s="3"/>
    </row>
    <row r="305" spans="1:9" ht="15.75" thickBot="1" x14ac:dyDescent="0.3">
      <c r="A305" s="7" t="s">
        <v>102</v>
      </c>
      <c r="B305" s="8" t="s">
        <v>9</v>
      </c>
      <c r="C305" s="8" t="s">
        <v>35</v>
      </c>
      <c r="D305" s="8" t="s">
        <v>36</v>
      </c>
      <c r="E305" s="8" t="s">
        <v>78</v>
      </c>
      <c r="F305" s="8" t="s">
        <v>53</v>
      </c>
      <c r="G305" s="9">
        <v>12</v>
      </c>
      <c r="H305" s="8" t="s">
        <v>42</v>
      </c>
      <c r="I305" s="3"/>
    </row>
    <row r="306" spans="1:9" ht="15.75" thickBot="1" x14ac:dyDescent="0.3">
      <c r="A306" s="11">
        <v>46082</v>
      </c>
      <c r="B306" s="5" t="s">
        <v>30</v>
      </c>
      <c r="C306" s="5" t="s">
        <v>22</v>
      </c>
      <c r="D306" s="5" t="s">
        <v>36</v>
      </c>
      <c r="E306" s="5" t="s">
        <v>32</v>
      </c>
      <c r="F306" s="5" t="s">
        <v>41</v>
      </c>
      <c r="G306" s="6">
        <v>13</v>
      </c>
      <c r="H306" s="5" t="s">
        <v>19</v>
      </c>
      <c r="I306" s="3"/>
    </row>
    <row r="307" spans="1:9" ht="15.75" thickBot="1" x14ac:dyDescent="0.3">
      <c r="A307" s="10">
        <v>46059</v>
      </c>
      <c r="B307" s="8" t="s">
        <v>16</v>
      </c>
      <c r="C307" s="8" t="s">
        <v>46</v>
      </c>
      <c r="D307" s="8" t="s">
        <v>11</v>
      </c>
      <c r="E307" s="8" t="s">
        <v>83</v>
      </c>
      <c r="F307" s="8" t="s">
        <v>53</v>
      </c>
      <c r="G307" s="9">
        <v>6</v>
      </c>
      <c r="H307" s="8" t="s">
        <v>42</v>
      </c>
      <c r="I307" s="3"/>
    </row>
    <row r="308" spans="1:9" ht="15.75" thickBot="1" x14ac:dyDescent="0.3">
      <c r="A308" s="4" t="s">
        <v>96</v>
      </c>
      <c r="B308" s="5" t="s">
        <v>140</v>
      </c>
      <c r="C308" s="5" t="s">
        <v>10</v>
      </c>
      <c r="D308" s="5" t="s">
        <v>23</v>
      </c>
      <c r="E308" s="5" t="s">
        <v>12</v>
      </c>
      <c r="F308" s="5" t="s">
        <v>103</v>
      </c>
      <c r="G308" s="6">
        <v>13</v>
      </c>
      <c r="H308" s="5" t="s">
        <v>19</v>
      </c>
      <c r="I308" s="3"/>
    </row>
    <row r="309" spans="1:9" ht="15.75" thickBot="1" x14ac:dyDescent="0.3">
      <c r="A309" s="10">
        <v>46238</v>
      </c>
      <c r="B309" s="8" t="s">
        <v>9</v>
      </c>
      <c r="C309" s="8" t="s">
        <v>10</v>
      </c>
      <c r="D309" s="8" t="s">
        <v>36</v>
      </c>
      <c r="E309" s="8" t="s">
        <v>18</v>
      </c>
      <c r="F309" s="8" t="s">
        <v>49</v>
      </c>
      <c r="G309" s="9">
        <v>5</v>
      </c>
      <c r="H309" s="8" t="s">
        <v>42</v>
      </c>
      <c r="I309" s="3"/>
    </row>
    <row r="310" spans="1:9" ht="15.75" thickBot="1" x14ac:dyDescent="0.3">
      <c r="A310" s="11">
        <v>46208</v>
      </c>
      <c r="B310" s="5" t="s">
        <v>97</v>
      </c>
      <c r="C310" s="5" t="s">
        <v>62</v>
      </c>
      <c r="D310" s="5" t="s">
        <v>43</v>
      </c>
      <c r="E310" s="5" t="s">
        <v>63</v>
      </c>
      <c r="F310" s="5" t="s">
        <v>25</v>
      </c>
      <c r="G310" s="6">
        <v>2</v>
      </c>
      <c r="H310" s="5" t="s">
        <v>19</v>
      </c>
      <c r="I310" s="3"/>
    </row>
    <row r="311" spans="1:9" ht="15.75" thickBot="1" x14ac:dyDescent="0.3">
      <c r="A311" s="7" t="s">
        <v>160</v>
      </c>
      <c r="B311" s="8" t="s">
        <v>88</v>
      </c>
      <c r="C311" s="8" t="s">
        <v>94</v>
      </c>
      <c r="D311" s="8" t="s">
        <v>11</v>
      </c>
      <c r="E311" s="8" t="s">
        <v>44</v>
      </c>
      <c r="F311" s="8" t="s">
        <v>49</v>
      </c>
      <c r="G311" s="9">
        <v>7</v>
      </c>
      <c r="H311" s="8" t="s">
        <v>19</v>
      </c>
      <c r="I311" s="3"/>
    </row>
    <row r="312" spans="1:9" ht="15.75" thickBot="1" x14ac:dyDescent="0.3">
      <c r="A312" s="4" t="s">
        <v>71</v>
      </c>
      <c r="B312" s="5" t="s">
        <v>74</v>
      </c>
      <c r="C312" s="5" t="s">
        <v>70</v>
      </c>
      <c r="D312" s="5" t="s">
        <v>36</v>
      </c>
      <c r="E312" s="5" t="s">
        <v>37</v>
      </c>
      <c r="F312" s="5" t="s">
        <v>53</v>
      </c>
      <c r="G312" s="6">
        <v>9</v>
      </c>
      <c r="H312" s="5" t="s">
        <v>42</v>
      </c>
      <c r="I312" s="3"/>
    </row>
    <row r="313" spans="1:9" ht="15.75" thickBot="1" x14ac:dyDescent="0.3">
      <c r="A313" s="10">
        <v>46058</v>
      </c>
      <c r="B313" s="8" t="s">
        <v>85</v>
      </c>
      <c r="C313" s="8" t="s">
        <v>10</v>
      </c>
      <c r="D313" s="8" t="s">
        <v>23</v>
      </c>
      <c r="E313" s="8" t="s">
        <v>63</v>
      </c>
      <c r="F313" s="8" t="s">
        <v>13</v>
      </c>
      <c r="G313" s="9">
        <v>6</v>
      </c>
      <c r="H313" s="8" t="s">
        <v>14</v>
      </c>
      <c r="I313" s="3"/>
    </row>
    <row r="314" spans="1:9" ht="15.75" thickBot="1" x14ac:dyDescent="0.3">
      <c r="A314" s="4" t="s">
        <v>82</v>
      </c>
      <c r="B314" s="5" t="s">
        <v>140</v>
      </c>
      <c r="C314" s="5" t="s">
        <v>94</v>
      </c>
      <c r="D314" s="5" t="s">
        <v>17</v>
      </c>
      <c r="E314" s="5" t="s">
        <v>115</v>
      </c>
      <c r="F314" s="5" t="s">
        <v>103</v>
      </c>
      <c r="G314" s="6">
        <v>10</v>
      </c>
      <c r="H314" s="5" t="s">
        <v>50</v>
      </c>
      <c r="I314" s="3"/>
    </row>
    <row r="315" spans="1:9" ht="15.75" thickBot="1" x14ac:dyDescent="0.3">
      <c r="A315" s="7" t="s">
        <v>151</v>
      </c>
      <c r="B315" s="8" t="s">
        <v>69</v>
      </c>
      <c r="C315" s="8" t="s">
        <v>94</v>
      </c>
      <c r="D315" s="8" t="s">
        <v>43</v>
      </c>
      <c r="E315" s="8" t="s">
        <v>115</v>
      </c>
      <c r="F315" s="8" t="s">
        <v>86</v>
      </c>
      <c r="G315" s="9">
        <v>1</v>
      </c>
      <c r="H315" s="8" t="s">
        <v>19</v>
      </c>
      <c r="I315" s="3"/>
    </row>
    <row r="316" spans="1:9" ht="15.75" thickBot="1" x14ac:dyDescent="0.3">
      <c r="A316" s="11">
        <v>46300</v>
      </c>
      <c r="B316" s="5" t="s">
        <v>72</v>
      </c>
      <c r="C316" s="5" t="s">
        <v>62</v>
      </c>
      <c r="D316" s="5" t="s">
        <v>43</v>
      </c>
      <c r="E316" s="5" t="s">
        <v>63</v>
      </c>
      <c r="F316" s="5" t="s">
        <v>13</v>
      </c>
      <c r="G316" s="6">
        <v>13</v>
      </c>
      <c r="H316" s="5" t="s">
        <v>42</v>
      </c>
      <c r="I316" s="3"/>
    </row>
    <row r="317" spans="1:9" ht="15.75" thickBot="1" x14ac:dyDescent="0.3">
      <c r="A317" s="7" t="s">
        <v>175</v>
      </c>
      <c r="B317" s="8" t="s">
        <v>16</v>
      </c>
      <c r="C317" s="8" t="s">
        <v>10</v>
      </c>
      <c r="D317" s="8" t="s">
        <v>43</v>
      </c>
      <c r="E317" s="8" t="s">
        <v>52</v>
      </c>
      <c r="F317" s="8" t="s">
        <v>38</v>
      </c>
      <c r="G317" s="9">
        <v>9</v>
      </c>
      <c r="H317" s="8" t="s">
        <v>42</v>
      </c>
      <c r="I317" s="3"/>
    </row>
    <row r="318" spans="1:9" ht="15.75" thickBot="1" x14ac:dyDescent="0.3">
      <c r="A318" s="11">
        <v>46148</v>
      </c>
      <c r="B318" s="5" t="s">
        <v>118</v>
      </c>
      <c r="C318" s="5" t="s">
        <v>31</v>
      </c>
      <c r="D318" s="5" t="s">
        <v>23</v>
      </c>
      <c r="E318" s="5" t="s">
        <v>32</v>
      </c>
      <c r="F318" s="5" t="s">
        <v>28</v>
      </c>
      <c r="G318" s="6">
        <v>15</v>
      </c>
      <c r="H318" s="5" t="s">
        <v>42</v>
      </c>
      <c r="I318" s="3"/>
    </row>
    <row r="319" spans="1:9" ht="15.75" thickBot="1" x14ac:dyDescent="0.3">
      <c r="A319" s="7" t="s">
        <v>152</v>
      </c>
      <c r="B319" s="8" t="s">
        <v>40</v>
      </c>
      <c r="C319" s="8" t="s">
        <v>66</v>
      </c>
      <c r="D319" s="8" t="s">
        <v>11</v>
      </c>
      <c r="E319" s="8" t="s">
        <v>59</v>
      </c>
      <c r="F319" s="8" t="s">
        <v>38</v>
      </c>
      <c r="G319" s="9">
        <v>14</v>
      </c>
      <c r="H319" s="8" t="s">
        <v>19</v>
      </c>
      <c r="I319" s="3"/>
    </row>
    <row r="320" spans="1:9" ht="15.75" thickBot="1" x14ac:dyDescent="0.3">
      <c r="A320" s="11">
        <v>46270</v>
      </c>
      <c r="B320" s="5" t="s">
        <v>9</v>
      </c>
      <c r="C320" s="5" t="s">
        <v>90</v>
      </c>
      <c r="D320" s="5" t="s">
        <v>36</v>
      </c>
      <c r="E320" s="5" t="s">
        <v>24</v>
      </c>
      <c r="F320" s="5" t="s">
        <v>41</v>
      </c>
      <c r="G320" s="6">
        <v>15</v>
      </c>
      <c r="H320" s="5" t="s">
        <v>19</v>
      </c>
      <c r="I320" s="3"/>
    </row>
    <row r="321" spans="1:9" ht="15.75" thickBot="1" x14ac:dyDescent="0.3">
      <c r="A321" s="7" t="s">
        <v>176</v>
      </c>
      <c r="B321" s="8" t="s">
        <v>48</v>
      </c>
      <c r="C321" s="8" t="s">
        <v>22</v>
      </c>
      <c r="D321" s="8" t="s">
        <v>23</v>
      </c>
      <c r="E321" s="8" t="s">
        <v>32</v>
      </c>
      <c r="F321" s="8" t="s">
        <v>41</v>
      </c>
      <c r="G321" s="9">
        <v>14</v>
      </c>
      <c r="H321" s="8" t="s">
        <v>19</v>
      </c>
      <c r="I321" s="3"/>
    </row>
    <row r="322" spans="1:9" ht="15.75" thickBot="1" x14ac:dyDescent="0.3">
      <c r="A322" s="4" t="s">
        <v>177</v>
      </c>
      <c r="B322" s="5" t="s">
        <v>92</v>
      </c>
      <c r="C322" s="5" t="s">
        <v>62</v>
      </c>
      <c r="D322" s="5" t="s">
        <v>36</v>
      </c>
      <c r="E322" s="5" t="s">
        <v>24</v>
      </c>
      <c r="F322" s="5" t="s">
        <v>86</v>
      </c>
      <c r="G322" s="6">
        <v>6</v>
      </c>
      <c r="H322" s="5" t="s">
        <v>42</v>
      </c>
      <c r="I322" s="3"/>
    </row>
    <row r="323" spans="1:9" ht="15.75" thickBot="1" x14ac:dyDescent="0.3">
      <c r="A323" s="7" t="s">
        <v>158</v>
      </c>
      <c r="B323" s="8" t="s">
        <v>101</v>
      </c>
      <c r="C323" s="8" t="s">
        <v>27</v>
      </c>
      <c r="D323" s="8" t="s">
        <v>11</v>
      </c>
      <c r="E323" s="8" t="s">
        <v>12</v>
      </c>
      <c r="F323" s="8" t="s">
        <v>33</v>
      </c>
      <c r="G323" s="9">
        <v>15</v>
      </c>
      <c r="H323" s="8" t="s">
        <v>50</v>
      </c>
      <c r="I323" s="3"/>
    </row>
    <row r="324" spans="1:9" ht="15.75" thickBot="1" x14ac:dyDescent="0.3">
      <c r="A324" s="11">
        <v>46237</v>
      </c>
      <c r="B324" s="5" t="s">
        <v>26</v>
      </c>
      <c r="C324" s="5" t="s">
        <v>90</v>
      </c>
      <c r="D324" s="5" t="s">
        <v>17</v>
      </c>
      <c r="E324" s="5" t="s">
        <v>76</v>
      </c>
      <c r="F324" s="5" t="s">
        <v>86</v>
      </c>
      <c r="G324" s="6">
        <v>6</v>
      </c>
      <c r="H324" s="5" t="s">
        <v>14</v>
      </c>
      <c r="I324" s="3"/>
    </row>
    <row r="325" spans="1:9" ht="15.75" thickBot="1" x14ac:dyDescent="0.3">
      <c r="A325" s="7" t="s">
        <v>178</v>
      </c>
      <c r="B325" s="8" t="s">
        <v>40</v>
      </c>
      <c r="C325" s="8" t="s">
        <v>31</v>
      </c>
      <c r="D325" s="8" t="s">
        <v>43</v>
      </c>
      <c r="E325" s="8" t="s">
        <v>63</v>
      </c>
      <c r="F325" s="8" t="s">
        <v>41</v>
      </c>
      <c r="G325" s="9">
        <v>10</v>
      </c>
      <c r="H325" s="8" t="s">
        <v>14</v>
      </c>
      <c r="I325" s="3"/>
    </row>
    <row r="326" spans="1:9" ht="15.75" thickBot="1" x14ac:dyDescent="0.3">
      <c r="A326" s="11">
        <v>46360</v>
      </c>
      <c r="B326" s="5" t="s">
        <v>72</v>
      </c>
      <c r="C326" s="5" t="s">
        <v>70</v>
      </c>
      <c r="D326" s="5" t="s">
        <v>36</v>
      </c>
      <c r="E326" s="5" t="s">
        <v>52</v>
      </c>
      <c r="F326" s="5" t="s">
        <v>56</v>
      </c>
      <c r="G326" s="6">
        <v>4</v>
      </c>
      <c r="H326" s="5" t="s">
        <v>19</v>
      </c>
      <c r="I326" s="3"/>
    </row>
    <row r="327" spans="1:9" ht="15.75" thickBot="1" x14ac:dyDescent="0.3">
      <c r="A327" s="7" t="s">
        <v>179</v>
      </c>
      <c r="B327" s="8" t="s">
        <v>101</v>
      </c>
      <c r="C327" s="8" t="s">
        <v>10</v>
      </c>
      <c r="D327" s="8" t="s">
        <v>36</v>
      </c>
      <c r="E327" s="8" t="s">
        <v>83</v>
      </c>
      <c r="F327" s="8" t="s">
        <v>56</v>
      </c>
      <c r="G327" s="9">
        <v>11</v>
      </c>
      <c r="H327" s="8" t="s">
        <v>50</v>
      </c>
      <c r="I327" s="3"/>
    </row>
    <row r="328" spans="1:9" ht="15.75" thickBot="1" x14ac:dyDescent="0.3">
      <c r="A328" s="11">
        <v>46333</v>
      </c>
      <c r="B328" s="5" t="s">
        <v>85</v>
      </c>
      <c r="C328" s="5" t="s">
        <v>31</v>
      </c>
      <c r="D328" s="5" t="s">
        <v>43</v>
      </c>
      <c r="E328" s="5" t="s">
        <v>59</v>
      </c>
      <c r="F328" s="5" t="s">
        <v>73</v>
      </c>
      <c r="G328" s="6">
        <v>4</v>
      </c>
      <c r="H328" s="5" t="s">
        <v>14</v>
      </c>
      <c r="I328" s="3"/>
    </row>
    <row r="329" spans="1:9" ht="15.75" thickBot="1" x14ac:dyDescent="0.3">
      <c r="A329" s="7" t="s">
        <v>127</v>
      </c>
      <c r="B329" s="8" t="s">
        <v>55</v>
      </c>
      <c r="C329" s="8" t="s">
        <v>70</v>
      </c>
      <c r="D329" s="8" t="s">
        <v>36</v>
      </c>
      <c r="E329" s="8" t="s">
        <v>12</v>
      </c>
      <c r="F329" s="8" t="s">
        <v>56</v>
      </c>
      <c r="G329" s="9">
        <v>10</v>
      </c>
      <c r="H329" s="8" t="s">
        <v>42</v>
      </c>
      <c r="I329" s="3"/>
    </row>
    <row r="330" spans="1:9" ht="15.75" thickBot="1" x14ac:dyDescent="0.3">
      <c r="A330" s="4" t="s">
        <v>106</v>
      </c>
      <c r="B330" s="5" t="s">
        <v>69</v>
      </c>
      <c r="C330" s="5" t="s">
        <v>10</v>
      </c>
      <c r="D330" s="5" t="s">
        <v>17</v>
      </c>
      <c r="E330" s="5" t="s">
        <v>76</v>
      </c>
      <c r="F330" s="5" t="s">
        <v>56</v>
      </c>
      <c r="G330" s="6">
        <v>3</v>
      </c>
      <c r="H330" s="5" t="s">
        <v>42</v>
      </c>
      <c r="I330" s="3"/>
    </row>
    <row r="331" spans="1:9" ht="15.75" thickBot="1" x14ac:dyDescent="0.3">
      <c r="A331" s="7" t="s">
        <v>152</v>
      </c>
      <c r="B331" s="8" t="s">
        <v>21</v>
      </c>
      <c r="C331" s="8" t="s">
        <v>22</v>
      </c>
      <c r="D331" s="8" t="s">
        <v>17</v>
      </c>
      <c r="E331" s="8" t="s">
        <v>52</v>
      </c>
      <c r="F331" s="8" t="s">
        <v>38</v>
      </c>
      <c r="G331" s="9">
        <v>5</v>
      </c>
      <c r="H331" s="8" t="s">
        <v>42</v>
      </c>
      <c r="I331" s="3"/>
    </row>
    <row r="332" spans="1:9" ht="15.75" thickBot="1" x14ac:dyDescent="0.3">
      <c r="A332" s="4" t="s">
        <v>180</v>
      </c>
      <c r="B332" s="5" t="s">
        <v>9</v>
      </c>
      <c r="C332" s="5" t="s">
        <v>10</v>
      </c>
      <c r="D332" s="5" t="s">
        <v>17</v>
      </c>
      <c r="E332" s="5" t="s">
        <v>18</v>
      </c>
      <c r="F332" s="5" t="s">
        <v>73</v>
      </c>
      <c r="G332" s="6">
        <v>10</v>
      </c>
      <c r="H332" s="5" t="s">
        <v>50</v>
      </c>
      <c r="I332" s="3"/>
    </row>
    <row r="333" spans="1:9" ht="15.75" thickBot="1" x14ac:dyDescent="0.3">
      <c r="A333" s="7" t="s">
        <v>119</v>
      </c>
      <c r="B333" s="8" t="s">
        <v>74</v>
      </c>
      <c r="C333" s="8" t="s">
        <v>22</v>
      </c>
      <c r="D333" s="8" t="s">
        <v>23</v>
      </c>
      <c r="E333" s="8" t="s">
        <v>52</v>
      </c>
      <c r="F333" s="8" t="s">
        <v>86</v>
      </c>
      <c r="G333" s="9">
        <v>5</v>
      </c>
      <c r="H333" s="8" t="s">
        <v>50</v>
      </c>
      <c r="I333" s="3"/>
    </row>
    <row r="334" spans="1:9" ht="15.75" thickBot="1" x14ac:dyDescent="0.3">
      <c r="A334" s="4" t="s">
        <v>82</v>
      </c>
      <c r="B334" s="5" t="s">
        <v>34</v>
      </c>
      <c r="C334" s="5" t="s">
        <v>62</v>
      </c>
      <c r="D334" s="5" t="s">
        <v>23</v>
      </c>
      <c r="E334" s="5" t="s">
        <v>24</v>
      </c>
      <c r="F334" s="5" t="s">
        <v>53</v>
      </c>
      <c r="G334" s="6">
        <v>7</v>
      </c>
      <c r="H334" s="5" t="s">
        <v>14</v>
      </c>
      <c r="I334" s="3"/>
    </row>
    <row r="335" spans="1:9" ht="15.75" thickBot="1" x14ac:dyDescent="0.3">
      <c r="A335" s="7" t="s">
        <v>163</v>
      </c>
      <c r="B335" s="8" t="s">
        <v>74</v>
      </c>
      <c r="C335" s="8" t="s">
        <v>46</v>
      </c>
      <c r="D335" s="8" t="s">
        <v>17</v>
      </c>
      <c r="E335" s="8" t="s">
        <v>12</v>
      </c>
      <c r="F335" s="8" t="s">
        <v>41</v>
      </c>
      <c r="G335" s="9">
        <v>5</v>
      </c>
      <c r="H335" s="8" t="s">
        <v>42</v>
      </c>
      <c r="I335" s="3"/>
    </row>
    <row r="336" spans="1:9" ht="15.75" thickBot="1" x14ac:dyDescent="0.3">
      <c r="A336" s="4" t="s">
        <v>181</v>
      </c>
      <c r="B336" s="5" t="s">
        <v>21</v>
      </c>
      <c r="C336" s="5" t="s">
        <v>70</v>
      </c>
      <c r="D336" s="5" t="s">
        <v>23</v>
      </c>
      <c r="E336" s="5" t="s">
        <v>52</v>
      </c>
      <c r="F336" s="5" t="s">
        <v>103</v>
      </c>
      <c r="G336" s="6">
        <v>4</v>
      </c>
      <c r="H336" s="5" t="s">
        <v>42</v>
      </c>
      <c r="I336" s="3"/>
    </row>
    <row r="337" spans="1:9" ht="15.75" thickBot="1" x14ac:dyDescent="0.3">
      <c r="A337" s="7" t="s">
        <v>141</v>
      </c>
      <c r="B337" s="8" t="s">
        <v>16</v>
      </c>
      <c r="C337" s="8" t="s">
        <v>10</v>
      </c>
      <c r="D337" s="8" t="s">
        <v>11</v>
      </c>
      <c r="E337" s="8" t="s">
        <v>32</v>
      </c>
      <c r="F337" s="8" t="s">
        <v>64</v>
      </c>
      <c r="G337" s="9">
        <v>10</v>
      </c>
      <c r="H337" s="8" t="s">
        <v>14</v>
      </c>
      <c r="I337" s="3"/>
    </row>
    <row r="338" spans="1:9" ht="15.75" thickBot="1" x14ac:dyDescent="0.3">
      <c r="A338" s="11">
        <v>46235</v>
      </c>
      <c r="B338" s="5" t="s">
        <v>69</v>
      </c>
      <c r="C338" s="5" t="s">
        <v>31</v>
      </c>
      <c r="D338" s="5" t="s">
        <v>23</v>
      </c>
      <c r="E338" s="5" t="s">
        <v>32</v>
      </c>
      <c r="F338" s="5" t="s">
        <v>73</v>
      </c>
      <c r="G338" s="6">
        <v>12</v>
      </c>
      <c r="H338" s="5" t="s">
        <v>19</v>
      </c>
      <c r="I338" s="3"/>
    </row>
    <row r="339" spans="1:9" ht="15.75" thickBot="1" x14ac:dyDescent="0.3">
      <c r="A339" s="7" t="s">
        <v>159</v>
      </c>
      <c r="B339" s="8" t="s">
        <v>40</v>
      </c>
      <c r="C339" s="8" t="s">
        <v>10</v>
      </c>
      <c r="D339" s="8" t="s">
        <v>11</v>
      </c>
      <c r="E339" s="8" t="s">
        <v>24</v>
      </c>
      <c r="F339" s="8" t="s">
        <v>41</v>
      </c>
      <c r="G339" s="9">
        <v>8</v>
      </c>
      <c r="H339" s="8" t="s">
        <v>14</v>
      </c>
      <c r="I339" s="3"/>
    </row>
    <row r="340" spans="1:9" ht="15.75" thickBot="1" x14ac:dyDescent="0.3">
      <c r="A340" s="4" t="s">
        <v>79</v>
      </c>
      <c r="B340" s="5" t="s">
        <v>72</v>
      </c>
      <c r="C340" s="5" t="s">
        <v>46</v>
      </c>
      <c r="D340" s="5" t="s">
        <v>43</v>
      </c>
      <c r="E340" s="5" t="s">
        <v>44</v>
      </c>
      <c r="F340" s="5" t="s">
        <v>13</v>
      </c>
      <c r="G340" s="6">
        <v>4</v>
      </c>
      <c r="H340" s="5" t="s">
        <v>50</v>
      </c>
      <c r="I340" s="3"/>
    </row>
    <row r="341" spans="1:9" ht="15.75" thickBot="1" x14ac:dyDescent="0.3">
      <c r="A341" s="7" t="s">
        <v>106</v>
      </c>
      <c r="B341" s="8" t="s">
        <v>40</v>
      </c>
      <c r="C341" s="8" t="s">
        <v>90</v>
      </c>
      <c r="D341" s="8" t="s">
        <v>23</v>
      </c>
      <c r="E341" s="8" t="s">
        <v>32</v>
      </c>
      <c r="F341" s="8" t="s">
        <v>64</v>
      </c>
      <c r="G341" s="9">
        <v>13</v>
      </c>
      <c r="H341" s="8" t="s">
        <v>14</v>
      </c>
      <c r="I341" s="3"/>
    </row>
    <row r="342" spans="1:9" ht="15.75" thickBot="1" x14ac:dyDescent="0.3">
      <c r="A342" s="4" t="s">
        <v>87</v>
      </c>
      <c r="B342" s="5" t="s">
        <v>26</v>
      </c>
      <c r="C342" s="5" t="s">
        <v>10</v>
      </c>
      <c r="D342" s="5" t="s">
        <v>43</v>
      </c>
      <c r="E342" s="5" t="s">
        <v>76</v>
      </c>
      <c r="F342" s="5" t="s">
        <v>64</v>
      </c>
      <c r="G342" s="6">
        <v>14</v>
      </c>
      <c r="H342" s="5" t="s">
        <v>19</v>
      </c>
      <c r="I342" s="3"/>
    </row>
    <row r="343" spans="1:9" ht="15.75" thickBot="1" x14ac:dyDescent="0.3">
      <c r="A343" s="7" t="s">
        <v>181</v>
      </c>
      <c r="B343" s="8" t="s">
        <v>26</v>
      </c>
      <c r="C343" s="8" t="s">
        <v>27</v>
      </c>
      <c r="D343" s="8" t="s">
        <v>23</v>
      </c>
      <c r="E343" s="8" t="s">
        <v>115</v>
      </c>
      <c r="F343" s="8" t="s">
        <v>28</v>
      </c>
      <c r="G343" s="9">
        <v>1</v>
      </c>
      <c r="H343" s="8" t="s">
        <v>42</v>
      </c>
      <c r="I343" s="3"/>
    </row>
    <row r="344" spans="1:9" ht="15.75" thickBot="1" x14ac:dyDescent="0.3">
      <c r="A344" s="4" t="s">
        <v>169</v>
      </c>
      <c r="B344" s="5" t="s">
        <v>88</v>
      </c>
      <c r="C344" s="5" t="s">
        <v>46</v>
      </c>
      <c r="D344" s="5" t="s">
        <v>11</v>
      </c>
      <c r="E344" s="5" t="s">
        <v>76</v>
      </c>
      <c r="F344" s="5" t="s">
        <v>53</v>
      </c>
      <c r="G344" s="6">
        <v>15</v>
      </c>
      <c r="H344" s="5" t="s">
        <v>42</v>
      </c>
      <c r="I344" s="3"/>
    </row>
    <row r="345" spans="1:9" ht="15.75" thickBot="1" x14ac:dyDescent="0.3">
      <c r="A345" s="10">
        <v>46209</v>
      </c>
      <c r="B345" s="8" t="s">
        <v>118</v>
      </c>
      <c r="C345" s="8" t="s">
        <v>62</v>
      </c>
      <c r="D345" s="8" t="s">
        <v>23</v>
      </c>
      <c r="E345" s="8" t="s">
        <v>24</v>
      </c>
      <c r="F345" s="8" t="s">
        <v>86</v>
      </c>
      <c r="G345" s="9">
        <v>13</v>
      </c>
      <c r="H345" s="8" t="s">
        <v>14</v>
      </c>
      <c r="I345" s="3"/>
    </row>
    <row r="346" spans="1:9" ht="15.75" thickBot="1" x14ac:dyDescent="0.3">
      <c r="A346" s="4" t="s">
        <v>154</v>
      </c>
      <c r="B346" s="5" t="s">
        <v>40</v>
      </c>
      <c r="C346" s="5" t="s">
        <v>46</v>
      </c>
      <c r="D346" s="5" t="s">
        <v>36</v>
      </c>
      <c r="E346" s="5" t="s">
        <v>32</v>
      </c>
      <c r="F346" s="5" t="s">
        <v>49</v>
      </c>
      <c r="G346" s="6">
        <v>8</v>
      </c>
      <c r="H346" s="5" t="s">
        <v>14</v>
      </c>
      <c r="I346" s="3"/>
    </row>
    <row r="347" spans="1:9" ht="15.75" thickBot="1" x14ac:dyDescent="0.3">
      <c r="A347" s="7" t="s">
        <v>182</v>
      </c>
      <c r="B347" s="8" t="s">
        <v>26</v>
      </c>
      <c r="C347" s="8" t="s">
        <v>27</v>
      </c>
      <c r="D347" s="8" t="s">
        <v>23</v>
      </c>
      <c r="E347" s="8" t="s">
        <v>63</v>
      </c>
      <c r="F347" s="8" t="s">
        <v>33</v>
      </c>
      <c r="G347" s="9">
        <v>8</v>
      </c>
      <c r="H347" s="8" t="s">
        <v>42</v>
      </c>
      <c r="I347" s="3"/>
    </row>
    <row r="348" spans="1:9" ht="15.75" thickBot="1" x14ac:dyDescent="0.3">
      <c r="A348" s="4" t="s">
        <v>82</v>
      </c>
      <c r="B348" s="5" t="s">
        <v>88</v>
      </c>
      <c r="C348" s="5" t="s">
        <v>111</v>
      </c>
      <c r="D348" s="5" t="s">
        <v>17</v>
      </c>
      <c r="E348" s="5" t="s">
        <v>18</v>
      </c>
      <c r="F348" s="5" t="s">
        <v>49</v>
      </c>
      <c r="G348" s="6">
        <v>10</v>
      </c>
      <c r="H348" s="5" t="s">
        <v>50</v>
      </c>
      <c r="I348" s="3"/>
    </row>
    <row r="349" spans="1:9" ht="15.75" thickBot="1" x14ac:dyDescent="0.3">
      <c r="A349" s="10">
        <v>46082</v>
      </c>
      <c r="B349" s="8" t="s">
        <v>16</v>
      </c>
      <c r="C349" s="8" t="s">
        <v>31</v>
      </c>
      <c r="D349" s="8" t="s">
        <v>36</v>
      </c>
      <c r="E349" s="8" t="s">
        <v>52</v>
      </c>
      <c r="F349" s="8" t="s">
        <v>13</v>
      </c>
      <c r="G349" s="9">
        <v>14</v>
      </c>
      <c r="H349" s="8" t="s">
        <v>42</v>
      </c>
      <c r="I349" s="3"/>
    </row>
    <row r="350" spans="1:9" ht="15.75" thickBot="1" x14ac:dyDescent="0.3">
      <c r="A350" s="11">
        <v>46301</v>
      </c>
      <c r="B350" s="5" t="s">
        <v>97</v>
      </c>
      <c r="C350" s="5" t="s">
        <v>94</v>
      </c>
      <c r="D350" s="5" t="s">
        <v>43</v>
      </c>
      <c r="E350" s="5" t="s">
        <v>59</v>
      </c>
      <c r="F350" s="5" t="s">
        <v>103</v>
      </c>
      <c r="G350" s="6">
        <v>1</v>
      </c>
      <c r="H350" s="5" t="s">
        <v>42</v>
      </c>
      <c r="I350" s="3"/>
    </row>
    <row r="351" spans="1:9" ht="15.75" thickBot="1" x14ac:dyDescent="0.3">
      <c r="A351" s="7" t="s">
        <v>155</v>
      </c>
      <c r="B351" s="8" t="s">
        <v>74</v>
      </c>
      <c r="C351" s="8" t="s">
        <v>62</v>
      </c>
      <c r="D351" s="8" t="s">
        <v>11</v>
      </c>
      <c r="E351" s="8" t="s">
        <v>115</v>
      </c>
      <c r="F351" s="8" t="s">
        <v>33</v>
      </c>
      <c r="G351" s="9">
        <v>11</v>
      </c>
      <c r="H351" s="8" t="s">
        <v>19</v>
      </c>
      <c r="I351" s="3"/>
    </row>
    <row r="352" spans="1:9" ht="15.75" thickBot="1" x14ac:dyDescent="0.3">
      <c r="A352" s="4" t="s">
        <v>183</v>
      </c>
      <c r="B352" s="5" t="s">
        <v>30</v>
      </c>
      <c r="C352" s="5" t="s">
        <v>27</v>
      </c>
      <c r="D352" s="5" t="s">
        <v>36</v>
      </c>
      <c r="E352" s="5" t="s">
        <v>44</v>
      </c>
      <c r="F352" s="5" t="s">
        <v>13</v>
      </c>
      <c r="G352" s="6">
        <v>8</v>
      </c>
      <c r="H352" s="5" t="s">
        <v>19</v>
      </c>
      <c r="I352" s="3"/>
    </row>
    <row r="353" spans="1:9" ht="15.75" thickBot="1" x14ac:dyDescent="0.3">
      <c r="A353" s="10">
        <v>46144</v>
      </c>
      <c r="B353" s="8" t="s">
        <v>74</v>
      </c>
      <c r="C353" s="8" t="s">
        <v>27</v>
      </c>
      <c r="D353" s="8" t="s">
        <v>43</v>
      </c>
      <c r="E353" s="8" t="s">
        <v>24</v>
      </c>
      <c r="F353" s="8" t="s">
        <v>53</v>
      </c>
      <c r="G353" s="9">
        <v>13</v>
      </c>
      <c r="H353" s="8" t="s">
        <v>42</v>
      </c>
      <c r="I353" s="3"/>
    </row>
    <row r="354" spans="1:9" ht="15.75" thickBot="1" x14ac:dyDescent="0.3">
      <c r="A354" s="4" t="s">
        <v>184</v>
      </c>
      <c r="B354" s="5" t="s">
        <v>92</v>
      </c>
      <c r="C354" s="5" t="s">
        <v>27</v>
      </c>
      <c r="D354" s="5" t="s">
        <v>11</v>
      </c>
      <c r="E354" s="5" t="s">
        <v>138</v>
      </c>
      <c r="F354" s="5" t="s">
        <v>33</v>
      </c>
      <c r="G354" s="6">
        <v>6</v>
      </c>
      <c r="H354" s="5" t="s">
        <v>14</v>
      </c>
      <c r="I354" s="3"/>
    </row>
    <row r="355" spans="1:9" ht="15.75" thickBot="1" x14ac:dyDescent="0.3">
      <c r="A355" s="10">
        <v>46242</v>
      </c>
      <c r="B355" s="8" t="s">
        <v>55</v>
      </c>
      <c r="C355" s="8" t="s">
        <v>94</v>
      </c>
      <c r="D355" s="8" t="s">
        <v>11</v>
      </c>
      <c r="E355" s="8" t="s">
        <v>63</v>
      </c>
      <c r="F355" s="8" t="s">
        <v>13</v>
      </c>
      <c r="G355" s="9">
        <v>8</v>
      </c>
      <c r="H355" s="8" t="s">
        <v>14</v>
      </c>
      <c r="I355" s="3"/>
    </row>
    <row r="356" spans="1:9" ht="15.75" thickBot="1" x14ac:dyDescent="0.3">
      <c r="A356" s="11">
        <v>46357</v>
      </c>
      <c r="B356" s="5" t="s">
        <v>101</v>
      </c>
      <c r="C356" s="5" t="s">
        <v>10</v>
      </c>
      <c r="D356" s="5" t="s">
        <v>36</v>
      </c>
      <c r="E356" s="5" t="s">
        <v>12</v>
      </c>
      <c r="F356" s="5" t="s">
        <v>41</v>
      </c>
      <c r="G356" s="6">
        <v>13</v>
      </c>
      <c r="H356" s="5" t="s">
        <v>50</v>
      </c>
      <c r="I356" s="3"/>
    </row>
    <row r="357" spans="1:9" ht="15.75" thickBot="1" x14ac:dyDescent="0.3">
      <c r="A357" s="7" t="s">
        <v>146</v>
      </c>
      <c r="B357" s="8" t="s">
        <v>9</v>
      </c>
      <c r="C357" s="8" t="s">
        <v>46</v>
      </c>
      <c r="D357" s="8" t="s">
        <v>43</v>
      </c>
      <c r="E357" s="8" t="s">
        <v>59</v>
      </c>
      <c r="F357" s="8" t="s">
        <v>47</v>
      </c>
      <c r="G357" s="9">
        <v>6</v>
      </c>
      <c r="H357" s="8" t="s">
        <v>14</v>
      </c>
      <c r="I357" s="3"/>
    </row>
    <row r="358" spans="1:9" ht="15.75" thickBot="1" x14ac:dyDescent="0.3">
      <c r="A358" s="4" t="s">
        <v>165</v>
      </c>
      <c r="B358" s="5" t="s">
        <v>57</v>
      </c>
      <c r="C358" s="5" t="s">
        <v>46</v>
      </c>
      <c r="D358" s="5" t="s">
        <v>43</v>
      </c>
      <c r="E358" s="5" t="s">
        <v>18</v>
      </c>
      <c r="F358" s="5" t="s">
        <v>64</v>
      </c>
      <c r="G358" s="6">
        <v>5</v>
      </c>
      <c r="H358" s="5" t="s">
        <v>50</v>
      </c>
      <c r="I358" s="3"/>
    </row>
    <row r="359" spans="1:9" ht="15.75" thickBot="1" x14ac:dyDescent="0.3">
      <c r="A359" s="10">
        <v>46029</v>
      </c>
      <c r="B359" s="8" t="s">
        <v>21</v>
      </c>
      <c r="C359" s="8" t="s">
        <v>90</v>
      </c>
      <c r="D359" s="8" t="s">
        <v>17</v>
      </c>
      <c r="E359" s="8" t="s">
        <v>37</v>
      </c>
      <c r="F359" s="8" t="s">
        <v>73</v>
      </c>
      <c r="G359" s="9">
        <v>4</v>
      </c>
      <c r="H359" s="8" t="s">
        <v>50</v>
      </c>
      <c r="I359" s="3"/>
    </row>
    <row r="360" spans="1:9" ht="15.75" thickBot="1" x14ac:dyDescent="0.3">
      <c r="A360" s="4" t="s">
        <v>185</v>
      </c>
      <c r="B360" s="5" t="s">
        <v>9</v>
      </c>
      <c r="C360" s="5" t="s">
        <v>27</v>
      </c>
      <c r="D360" s="5" t="s">
        <v>23</v>
      </c>
      <c r="E360" s="5" t="s">
        <v>32</v>
      </c>
      <c r="F360" s="5" t="s">
        <v>47</v>
      </c>
      <c r="G360" s="6">
        <v>3</v>
      </c>
      <c r="H360" s="5" t="s">
        <v>14</v>
      </c>
      <c r="I360" s="3"/>
    </row>
    <row r="361" spans="1:9" ht="15.75" thickBot="1" x14ac:dyDescent="0.3">
      <c r="A361" s="7" t="s">
        <v>29</v>
      </c>
      <c r="B361" s="8" t="s">
        <v>92</v>
      </c>
      <c r="C361" s="8" t="s">
        <v>10</v>
      </c>
      <c r="D361" s="8" t="s">
        <v>36</v>
      </c>
      <c r="E361" s="8" t="s">
        <v>32</v>
      </c>
      <c r="F361" s="8" t="s">
        <v>41</v>
      </c>
      <c r="G361" s="9">
        <v>5</v>
      </c>
      <c r="H361" s="8" t="s">
        <v>19</v>
      </c>
      <c r="I361" s="3"/>
    </row>
    <row r="362" spans="1:9" ht="15.75" thickBot="1" x14ac:dyDescent="0.3">
      <c r="A362" s="4" t="s">
        <v>162</v>
      </c>
      <c r="B362" s="5" t="s">
        <v>69</v>
      </c>
      <c r="C362" s="5" t="s">
        <v>46</v>
      </c>
      <c r="D362" s="5" t="s">
        <v>23</v>
      </c>
      <c r="E362" s="5" t="s">
        <v>83</v>
      </c>
      <c r="F362" s="5" t="s">
        <v>38</v>
      </c>
      <c r="G362" s="6">
        <v>4</v>
      </c>
      <c r="H362" s="5" t="s">
        <v>19</v>
      </c>
      <c r="I362" s="3"/>
    </row>
    <row r="363" spans="1:9" ht="15.75" thickBot="1" x14ac:dyDescent="0.3">
      <c r="A363" s="10">
        <v>46242</v>
      </c>
      <c r="B363" s="8" t="s">
        <v>69</v>
      </c>
      <c r="C363" s="8" t="s">
        <v>70</v>
      </c>
      <c r="D363" s="8" t="s">
        <v>43</v>
      </c>
      <c r="E363" s="8" t="s">
        <v>32</v>
      </c>
      <c r="F363" s="8" t="s">
        <v>41</v>
      </c>
      <c r="G363" s="9">
        <v>7</v>
      </c>
      <c r="H363" s="8" t="s">
        <v>19</v>
      </c>
      <c r="I363" s="3"/>
    </row>
    <row r="364" spans="1:9" ht="15.75" thickBot="1" x14ac:dyDescent="0.3">
      <c r="A364" s="11">
        <v>46057</v>
      </c>
      <c r="B364" s="5" t="s">
        <v>101</v>
      </c>
      <c r="C364" s="5" t="s">
        <v>27</v>
      </c>
      <c r="D364" s="5" t="s">
        <v>23</v>
      </c>
      <c r="E364" s="5" t="s">
        <v>32</v>
      </c>
      <c r="F364" s="5" t="s">
        <v>41</v>
      </c>
      <c r="G364" s="6">
        <v>6</v>
      </c>
      <c r="H364" s="5" t="s">
        <v>19</v>
      </c>
      <c r="I364" s="3"/>
    </row>
    <row r="365" spans="1:9" ht="15.75" thickBot="1" x14ac:dyDescent="0.3">
      <c r="A365" s="7" t="s">
        <v>186</v>
      </c>
      <c r="B365" s="8" t="s">
        <v>21</v>
      </c>
      <c r="C365" s="8" t="s">
        <v>22</v>
      </c>
      <c r="D365" s="8" t="s">
        <v>43</v>
      </c>
      <c r="E365" s="8" t="s">
        <v>83</v>
      </c>
      <c r="F365" s="8" t="s">
        <v>49</v>
      </c>
      <c r="G365" s="9">
        <v>7</v>
      </c>
      <c r="H365" s="8" t="s">
        <v>42</v>
      </c>
      <c r="I365" s="3"/>
    </row>
    <row r="366" spans="1:9" ht="15.75" thickBot="1" x14ac:dyDescent="0.3">
      <c r="A366" s="11">
        <v>46176</v>
      </c>
      <c r="B366" s="5" t="s">
        <v>97</v>
      </c>
      <c r="C366" s="5" t="s">
        <v>10</v>
      </c>
      <c r="D366" s="5" t="s">
        <v>36</v>
      </c>
      <c r="E366" s="5" t="s">
        <v>67</v>
      </c>
      <c r="F366" s="5" t="s">
        <v>53</v>
      </c>
      <c r="G366" s="6">
        <v>12</v>
      </c>
      <c r="H366" s="5" t="s">
        <v>14</v>
      </c>
      <c r="I366" s="3"/>
    </row>
    <row r="367" spans="1:9" ht="15.75" thickBot="1" x14ac:dyDescent="0.3">
      <c r="A367" s="7" t="s">
        <v>91</v>
      </c>
      <c r="B367" s="8" t="s">
        <v>58</v>
      </c>
      <c r="C367" s="8" t="s">
        <v>62</v>
      </c>
      <c r="D367" s="8" t="s">
        <v>23</v>
      </c>
      <c r="E367" s="8" t="s">
        <v>63</v>
      </c>
      <c r="F367" s="8" t="s">
        <v>53</v>
      </c>
      <c r="G367" s="9">
        <v>10</v>
      </c>
      <c r="H367" s="8" t="s">
        <v>50</v>
      </c>
      <c r="I367" s="3"/>
    </row>
    <row r="368" spans="1:9" ht="15.75" thickBot="1" x14ac:dyDescent="0.3">
      <c r="A368" s="4" t="s">
        <v>125</v>
      </c>
      <c r="B368" s="5" t="s">
        <v>97</v>
      </c>
      <c r="C368" s="5" t="s">
        <v>46</v>
      </c>
      <c r="D368" s="5" t="s">
        <v>43</v>
      </c>
      <c r="E368" s="5" t="s">
        <v>52</v>
      </c>
      <c r="F368" s="5" t="s">
        <v>33</v>
      </c>
      <c r="G368" s="6">
        <v>6</v>
      </c>
      <c r="H368" s="5" t="s">
        <v>19</v>
      </c>
      <c r="I368" s="3"/>
    </row>
    <row r="369" spans="1:9" ht="15.75" thickBot="1" x14ac:dyDescent="0.3">
      <c r="A369" s="7" t="s">
        <v>145</v>
      </c>
      <c r="B369" s="8" t="s">
        <v>61</v>
      </c>
      <c r="C369" s="8" t="s">
        <v>46</v>
      </c>
      <c r="D369" s="8" t="s">
        <v>36</v>
      </c>
      <c r="E369" s="8" t="s">
        <v>44</v>
      </c>
      <c r="F369" s="8" t="s">
        <v>33</v>
      </c>
      <c r="G369" s="9">
        <v>15</v>
      </c>
      <c r="H369" s="8" t="s">
        <v>42</v>
      </c>
      <c r="I369" s="3"/>
    </row>
    <row r="370" spans="1:9" ht="15.75" thickBot="1" x14ac:dyDescent="0.3">
      <c r="A370" s="4" t="s">
        <v>77</v>
      </c>
      <c r="B370" s="5" t="s">
        <v>107</v>
      </c>
      <c r="C370" s="5" t="s">
        <v>10</v>
      </c>
      <c r="D370" s="5" t="s">
        <v>11</v>
      </c>
      <c r="E370" s="5" t="s">
        <v>67</v>
      </c>
      <c r="F370" s="5" t="s">
        <v>73</v>
      </c>
      <c r="G370" s="6">
        <v>3</v>
      </c>
      <c r="H370" s="5" t="s">
        <v>50</v>
      </c>
      <c r="I370" s="3"/>
    </row>
    <row r="371" spans="1:9" ht="15.75" thickBot="1" x14ac:dyDescent="0.3">
      <c r="A371" s="10">
        <v>46146</v>
      </c>
      <c r="B371" s="8" t="s">
        <v>92</v>
      </c>
      <c r="C371" s="8" t="s">
        <v>62</v>
      </c>
      <c r="D371" s="8" t="s">
        <v>17</v>
      </c>
      <c r="E371" s="8" t="s">
        <v>138</v>
      </c>
      <c r="F371" s="8" t="s">
        <v>28</v>
      </c>
      <c r="G371" s="9">
        <v>1</v>
      </c>
      <c r="H371" s="8" t="s">
        <v>19</v>
      </c>
      <c r="I371" s="3"/>
    </row>
    <row r="372" spans="1:9" ht="15.75" thickBot="1" x14ac:dyDescent="0.3">
      <c r="A372" s="11">
        <v>46364</v>
      </c>
      <c r="B372" s="5" t="s">
        <v>34</v>
      </c>
      <c r="C372" s="5" t="s">
        <v>22</v>
      </c>
      <c r="D372" s="5" t="s">
        <v>17</v>
      </c>
      <c r="E372" s="5" t="s">
        <v>32</v>
      </c>
      <c r="F372" s="5" t="s">
        <v>53</v>
      </c>
      <c r="G372" s="6">
        <v>9</v>
      </c>
      <c r="H372" s="5" t="s">
        <v>14</v>
      </c>
      <c r="I372" s="3"/>
    </row>
    <row r="373" spans="1:9" ht="15.75" thickBot="1" x14ac:dyDescent="0.3">
      <c r="A373" s="7" t="s">
        <v>15</v>
      </c>
      <c r="B373" s="8" t="s">
        <v>72</v>
      </c>
      <c r="C373" s="8" t="s">
        <v>10</v>
      </c>
      <c r="D373" s="8" t="s">
        <v>11</v>
      </c>
      <c r="E373" s="8" t="s">
        <v>59</v>
      </c>
      <c r="F373" s="8" t="s">
        <v>64</v>
      </c>
      <c r="G373" s="9">
        <v>7</v>
      </c>
      <c r="H373" s="8" t="s">
        <v>19</v>
      </c>
      <c r="I373" s="3"/>
    </row>
    <row r="374" spans="1:9" ht="15.75" thickBot="1" x14ac:dyDescent="0.3">
      <c r="A374" s="4" t="s">
        <v>187</v>
      </c>
      <c r="B374" s="5" t="s">
        <v>9</v>
      </c>
      <c r="C374" s="5" t="s">
        <v>10</v>
      </c>
      <c r="D374" s="5" t="s">
        <v>43</v>
      </c>
      <c r="E374" s="5" t="s">
        <v>24</v>
      </c>
      <c r="F374" s="5" t="s">
        <v>56</v>
      </c>
      <c r="G374" s="6">
        <v>4</v>
      </c>
      <c r="H374" s="5" t="s">
        <v>42</v>
      </c>
      <c r="I374" s="3"/>
    </row>
    <row r="375" spans="1:9" ht="15.75" thickBot="1" x14ac:dyDescent="0.3">
      <c r="A375" s="10">
        <v>46267</v>
      </c>
      <c r="B375" s="8" t="s">
        <v>58</v>
      </c>
      <c r="C375" s="8" t="s">
        <v>66</v>
      </c>
      <c r="D375" s="8" t="s">
        <v>43</v>
      </c>
      <c r="E375" s="8" t="s">
        <v>67</v>
      </c>
      <c r="F375" s="8" t="s">
        <v>49</v>
      </c>
      <c r="G375" s="9">
        <v>7</v>
      </c>
      <c r="H375" s="8" t="s">
        <v>19</v>
      </c>
      <c r="I375" s="3"/>
    </row>
    <row r="376" spans="1:9" ht="15.75" thickBot="1" x14ac:dyDescent="0.3">
      <c r="A376" s="11">
        <v>46145</v>
      </c>
      <c r="B376" s="5" t="s">
        <v>30</v>
      </c>
      <c r="C376" s="5" t="s">
        <v>62</v>
      </c>
      <c r="D376" s="5" t="s">
        <v>23</v>
      </c>
      <c r="E376" s="5" t="s">
        <v>44</v>
      </c>
      <c r="F376" s="5" t="s">
        <v>103</v>
      </c>
      <c r="G376" s="6">
        <v>10</v>
      </c>
      <c r="H376" s="5" t="s">
        <v>50</v>
      </c>
      <c r="I376" s="3"/>
    </row>
    <row r="377" spans="1:9" ht="15.75" thickBot="1" x14ac:dyDescent="0.3">
      <c r="A377" s="7" t="s">
        <v>182</v>
      </c>
      <c r="B377" s="8" t="s">
        <v>16</v>
      </c>
      <c r="C377" s="8" t="s">
        <v>46</v>
      </c>
      <c r="D377" s="8" t="s">
        <v>43</v>
      </c>
      <c r="E377" s="8" t="s">
        <v>32</v>
      </c>
      <c r="F377" s="8" t="s">
        <v>41</v>
      </c>
      <c r="G377" s="9">
        <v>2</v>
      </c>
      <c r="H377" s="8" t="s">
        <v>50</v>
      </c>
      <c r="I377" s="3"/>
    </row>
    <row r="378" spans="1:9" ht="15.75" thickBot="1" x14ac:dyDescent="0.3">
      <c r="A378" s="11">
        <v>46301</v>
      </c>
      <c r="B378" s="5" t="s">
        <v>88</v>
      </c>
      <c r="C378" s="5" t="s">
        <v>70</v>
      </c>
      <c r="D378" s="5" t="s">
        <v>36</v>
      </c>
      <c r="E378" s="5" t="s">
        <v>32</v>
      </c>
      <c r="F378" s="5" t="s">
        <v>33</v>
      </c>
      <c r="G378" s="6">
        <v>14</v>
      </c>
      <c r="H378" s="5" t="s">
        <v>19</v>
      </c>
      <c r="I378" s="3"/>
    </row>
    <row r="379" spans="1:9" ht="15.75" thickBot="1" x14ac:dyDescent="0.3">
      <c r="A379" s="10">
        <v>46296</v>
      </c>
      <c r="B379" s="8" t="s">
        <v>40</v>
      </c>
      <c r="C379" s="8" t="s">
        <v>62</v>
      </c>
      <c r="D379" s="8" t="s">
        <v>36</v>
      </c>
      <c r="E379" s="8" t="s">
        <v>24</v>
      </c>
      <c r="F379" s="8" t="s">
        <v>13</v>
      </c>
      <c r="G379" s="9">
        <v>6</v>
      </c>
      <c r="H379" s="8" t="s">
        <v>50</v>
      </c>
      <c r="I379" s="3"/>
    </row>
    <row r="380" spans="1:9" ht="15.75" thickBot="1" x14ac:dyDescent="0.3">
      <c r="A380" s="4" t="s">
        <v>95</v>
      </c>
      <c r="B380" s="5" t="s">
        <v>48</v>
      </c>
      <c r="C380" s="5" t="s">
        <v>62</v>
      </c>
      <c r="D380" s="5" t="s">
        <v>36</v>
      </c>
      <c r="E380" s="5" t="s">
        <v>115</v>
      </c>
      <c r="F380" s="5" t="s">
        <v>13</v>
      </c>
      <c r="G380" s="6">
        <v>5</v>
      </c>
      <c r="H380" s="5" t="s">
        <v>42</v>
      </c>
      <c r="I380" s="3"/>
    </row>
    <row r="381" spans="1:9" ht="15.75" thickBot="1" x14ac:dyDescent="0.3">
      <c r="A381" s="7" t="s">
        <v>173</v>
      </c>
      <c r="B381" s="8" t="s">
        <v>140</v>
      </c>
      <c r="C381" s="8" t="s">
        <v>31</v>
      </c>
      <c r="D381" s="8" t="s">
        <v>23</v>
      </c>
      <c r="E381" s="8" t="s">
        <v>115</v>
      </c>
      <c r="F381" s="8" t="s">
        <v>13</v>
      </c>
      <c r="G381" s="9">
        <v>4</v>
      </c>
      <c r="H381" s="8" t="s">
        <v>14</v>
      </c>
      <c r="I381" s="3"/>
    </row>
    <row r="382" spans="1:9" ht="15.75" thickBot="1" x14ac:dyDescent="0.3">
      <c r="A382" s="4" t="s">
        <v>15</v>
      </c>
      <c r="B382" s="5" t="s">
        <v>26</v>
      </c>
      <c r="C382" s="5" t="s">
        <v>62</v>
      </c>
      <c r="D382" s="5" t="s">
        <v>36</v>
      </c>
      <c r="E382" s="5" t="s">
        <v>138</v>
      </c>
      <c r="F382" s="5" t="s">
        <v>25</v>
      </c>
      <c r="G382" s="6">
        <v>4</v>
      </c>
      <c r="H382" s="5" t="s">
        <v>14</v>
      </c>
      <c r="I382" s="3"/>
    </row>
    <row r="383" spans="1:9" ht="15.75" thickBot="1" x14ac:dyDescent="0.3">
      <c r="A383" s="7" t="s">
        <v>168</v>
      </c>
      <c r="B383" s="8" t="s">
        <v>57</v>
      </c>
      <c r="C383" s="8" t="s">
        <v>22</v>
      </c>
      <c r="D383" s="8" t="s">
        <v>36</v>
      </c>
      <c r="E383" s="8" t="s">
        <v>12</v>
      </c>
      <c r="F383" s="8" t="s">
        <v>33</v>
      </c>
      <c r="G383" s="9">
        <v>10</v>
      </c>
      <c r="H383" s="8" t="s">
        <v>42</v>
      </c>
      <c r="I383" s="3"/>
    </row>
    <row r="384" spans="1:9" ht="15.75" thickBot="1" x14ac:dyDescent="0.3">
      <c r="A384" s="11">
        <v>46362</v>
      </c>
      <c r="B384" s="5" t="s">
        <v>74</v>
      </c>
      <c r="C384" s="5" t="s">
        <v>94</v>
      </c>
      <c r="D384" s="5" t="s">
        <v>17</v>
      </c>
      <c r="E384" s="5" t="s">
        <v>12</v>
      </c>
      <c r="F384" s="5" t="s">
        <v>49</v>
      </c>
      <c r="G384" s="6">
        <v>14</v>
      </c>
      <c r="H384" s="5" t="s">
        <v>42</v>
      </c>
      <c r="I384" s="3"/>
    </row>
    <row r="385" spans="1:9" ht="15.75" thickBot="1" x14ac:dyDescent="0.3">
      <c r="A385" s="7" t="s">
        <v>183</v>
      </c>
      <c r="B385" s="8" t="s">
        <v>118</v>
      </c>
      <c r="C385" s="8" t="s">
        <v>70</v>
      </c>
      <c r="D385" s="8" t="s">
        <v>23</v>
      </c>
      <c r="E385" s="8" t="s">
        <v>44</v>
      </c>
      <c r="F385" s="8" t="s">
        <v>41</v>
      </c>
      <c r="G385" s="9">
        <v>8</v>
      </c>
      <c r="H385" s="8" t="s">
        <v>50</v>
      </c>
      <c r="I385" s="3"/>
    </row>
    <row r="386" spans="1:9" ht="15.75" thickBot="1" x14ac:dyDescent="0.3">
      <c r="A386" s="11">
        <v>46266</v>
      </c>
      <c r="B386" s="5" t="s">
        <v>107</v>
      </c>
      <c r="C386" s="5" t="s">
        <v>10</v>
      </c>
      <c r="D386" s="5" t="s">
        <v>17</v>
      </c>
      <c r="E386" s="5" t="s">
        <v>59</v>
      </c>
      <c r="F386" s="5" t="s">
        <v>56</v>
      </c>
      <c r="G386" s="6">
        <v>3</v>
      </c>
      <c r="H386" s="5" t="s">
        <v>42</v>
      </c>
      <c r="I386" s="3"/>
    </row>
    <row r="387" spans="1:9" ht="15.75" thickBot="1" x14ac:dyDescent="0.3">
      <c r="A387" s="10">
        <v>46149</v>
      </c>
      <c r="B387" s="8" t="s">
        <v>34</v>
      </c>
      <c r="C387" s="8" t="s">
        <v>22</v>
      </c>
      <c r="D387" s="8" t="s">
        <v>17</v>
      </c>
      <c r="E387" s="8" t="s">
        <v>52</v>
      </c>
      <c r="F387" s="8" t="s">
        <v>73</v>
      </c>
      <c r="G387" s="9">
        <v>13</v>
      </c>
      <c r="H387" s="8" t="s">
        <v>14</v>
      </c>
      <c r="I387" s="3"/>
    </row>
    <row r="388" spans="1:9" ht="15.75" thickBot="1" x14ac:dyDescent="0.3">
      <c r="A388" s="4" t="s">
        <v>110</v>
      </c>
      <c r="B388" s="5" t="s">
        <v>61</v>
      </c>
      <c r="C388" s="5" t="s">
        <v>22</v>
      </c>
      <c r="D388" s="5" t="s">
        <v>23</v>
      </c>
      <c r="E388" s="5" t="s">
        <v>18</v>
      </c>
      <c r="F388" s="5" t="s">
        <v>25</v>
      </c>
      <c r="G388" s="6">
        <v>8</v>
      </c>
      <c r="H388" s="5" t="s">
        <v>14</v>
      </c>
      <c r="I388" s="3"/>
    </row>
    <row r="389" spans="1:9" ht="15.75" thickBot="1" x14ac:dyDescent="0.3">
      <c r="A389" s="10">
        <v>46268</v>
      </c>
      <c r="B389" s="8" t="s">
        <v>97</v>
      </c>
      <c r="C389" s="8" t="s">
        <v>62</v>
      </c>
      <c r="D389" s="8" t="s">
        <v>23</v>
      </c>
      <c r="E389" s="8" t="s">
        <v>44</v>
      </c>
      <c r="F389" s="8" t="s">
        <v>73</v>
      </c>
      <c r="G389" s="9">
        <v>6</v>
      </c>
      <c r="H389" s="8" t="s">
        <v>14</v>
      </c>
      <c r="I389" s="3"/>
    </row>
    <row r="390" spans="1:9" ht="15.75" thickBot="1" x14ac:dyDescent="0.3">
      <c r="A390" s="4" t="s">
        <v>188</v>
      </c>
      <c r="B390" s="5" t="s">
        <v>72</v>
      </c>
      <c r="C390" s="5" t="s">
        <v>10</v>
      </c>
      <c r="D390" s="5" t="s">
        <v>11</v>
      </c>
      <c r="E390" s="5" t="s">
        <v>83</v>
      </c>
      <c r="F390" s="5" t="s">
        <v>47</v>
      </c>
      <c r="G390" s="6">
        <v>14</v>
      </c>
      <c r="H390" s="5" t="s">
        <v>42</v>
      </c>
      <c r="I390" s="3"/>
    </row>
    <row r="391" spans="1:9" ht="15.75" thickBot="1" x14ac:dyDescent="0.3">
      <c r="A391" s="7" t="s">
        <v>68</v>
      </c>
      <c r="B391" s="8" t="s">
        <v>92</v>
      </c>
      <c r="C391" s="8" t="s">
        <v>70</v>
      </c>
      <c r="D391" s="8" t="s">
        <v>36</v>
      </c>
      <c r="E391" s="8" t="s">
        <v>24</v>
      </c>
      <c r="F391" s="8" t="s">
        <v>38</v>
      </c>
      <c r="G391" s="9">
        <v>1</v>
      </c>
      <c r="H391" s="8" t="s">
        <v>19</v>
      </c>
      <c r="I391" s="3"/>
    </row>
    <row r="392" spans="1:9" ht="15.75" thickBot="1" x14ac:dyDescent="0.3">
      <c r="A392" s="4" t="s">
        <v>170</v>
      </c>
      <c r="B392" s="5" t="s">
        <v>34</v>
      </c>
      <c r="C392" s="5" t="s">
        <v>22</v>
      </c>
      <c r="D392" s="5" t="s">
        <v>23</v>
      </c>
      <c r="E392" s="5" t="s">
        <v>18</v>
      </c>
      <c r="F392" s="5" t="s">
        <v>103</v>
      </c>
      <c r="G392" s="6">
        <v>11</v>
      </c>
      <c r="H392" s="5" t="s">
        <v>50</v>
      </c>
      <c r="I392" s="3"/>
    </row>
    <row r="393" spans="1:9" ht="15.75" thickBot="1" x14ac:dyDescent="0.3">
      <c r="A393" s="7" t="s">
        <v>171</v>
      </c>
      <c r="B393" s="8" t="s">
        <v>69</v>
      </c>
      <c r="C393" s="8" t="s">
        <v>70</v>
      </c>
      <c r="D393" s="8" t="s">
        <v>17</v>
      </c>
      <c r="E393" s="8" t="s">
        <v>24</v>
      </c>
      <c r="F393" s="8" t="s">
        <v>38</v>
      </c>
      <c r="G393" s="9">
        <v>9</v>
      </c>
      <c r="H393" s="8" t="s">
        <v>14</v>
      </c>
      <c r="I393" s="3"/>
    </row>
    <row r="394" spans="1:9" ht="15.75" thickBot="1" x14ac:dyDescent="0.3">
      <c r="A394" s="4" t="s">
        <v>142</v>
      </c>
      <c r="B394" s="5" t="s">
        <v>140</v>
      </c>
      <c r="C394" s="5" t="s">
        <v>46</v>
      </c>
      <c r="D394" s="5" t="s">
        <v>23</v>
      </c>
      <c r="E394" s="5" t="s">
        <v>59</v>
      </c>
      <c r="F394" s="5" t="s">
        <v>103</v>
      </c>
      <c r="G394" s="6">
        <v>2</v>
      </c>
      <c r="H394" s="5" t="s">
        <v>14</v>
      </c>
      <c r="I394" s="3"/>
    </row>
    <row r="395" spans="1:9" ht="15.75" thickBot="1" x14ac:dyDescent="0.3">
      <c r="A395" s="7" t="s">
        <v>158</v>
      </c>
      <c r="B395" s="8" t="s">
        <v>9</v>
      </c>
      <c r="C395" s="8" t="s">
        <v>10</v>
      </c>
      <c r="D395" s="8" t="s">
        <v>43</v>
      </c>
      <c r="E395" s="8" t="s">
        <v>83</v>
      </c>
      <c r="F395" s="8" t="s">
        <v>73</v>
      </c>
      <c r="G395" s="9">
        <v>9</v>
      </c>
      <c r="H395" s="8" t="s">
        <v>19</v>
      </c>
      <c r="I395" s="3"/>
    </row>
    <row r="396" spans="1:9" ht="15.75" thickBot="1" x14ac:dyDescent="0.3">
      <c r="A396" s="11">
        <v>46059</v>
      </c>
      <c r="B396" s="5" t="s">
        <v>92</v>
      </c>
      <c r="C396" s="5" t="s">
        <v>10</v>
      </c>
      <c r="D396" s="5" t="s">
        <v>43</v>
      </c>
      <c r="E396" s="5" t="s">
        <v>59</v>
      </c>
      <c r="F396" s="5" t="s">
        <v>103</v>
      </c>
      <c r="G396" s="6">
        <v>8</v>
      </c>
      <c r="H396" s="5" t="s">
        <v>19</v>
      </c>
      <c r="I396" s="3"/>
    </row>
    <row r="397" spans="1:9" ht="15.75" thickBot="1" x14ac:dyDescent="0.3">
      <c r="A397" s="7" t="s">
        <v>141</v>
      </c>
      <c r="B397" s="8" t="s">
        <v>80</v>
      </c>
      <c r="C397" s="8" t="s">
        <v>22</v>
      </c>
      <c r="D397" s="8" t="s">
        <v>23</v>
      </c>
      <c r="E397" s="8" t="s">
        <v>37</v>
      </c>
      <c r="F397" s="8" t="s">
        <v>33</v>
      </c>
      <c r="G397" s="9">
        <v>9</v>
      </c>
      <c r="H397" s="8" t="s">
        <v>14</v>
      </c>
      <c r="I397" s="3"/>
    </row>
    <row r="398" spans="1:9" ht="15.75" thickBot="1" x14ac:dyDescent="0.3">
      <c r="A398" s="11">
        <v>46054</v>
      </c>
      <c r="B398" s="5" t="s">
        <v>30</v>
      </c>
      <c r="C398" s="5" t="s">
        <v>46</v>
      </c>
      <c r="D398" s="5" t="s">
        <v>17</v>
      </c>
      <c r="E398" s="5" t="s">
        <v>24</v>
      </c>
      <c r="F398" s="5" t="s">
        <v>28</v>
      </c>
      <c r="G398" s="6">
        <v>11</v>
      </c>
      <c r="H398" s="5" t="s">
        <v>19</v>
      </c>
      <c r="I398" s="3"/>
    </row>
    <row r="399" spans="1:9" ht="15.75" thickBot="1" x14ac:dyDescent="0.3">
      <c r="A399" s="7" t="s">
        <v>152</v>
      </c>
      <c r="B399" s="8" t="s">
        <v>48</v>
      </c>
      <c r="C399" s="8" t="s">
        <v>35</v>
      </c>
      <c r="D399" s="8" t="s">
        <v>17</v>
      </c>
      <c r="E399" s="8" t="s">
        <v>24</v>
      </c>
      <c r="F399" s="8" t="s">
        <v>103</v>
      </c>
      <c r="G399" s="9">
        <v>8</v>
      </c>
      <c r="H399" s="8" t="s">
        <v>14</v>
      </c>
      <c r="I399" s="3"/>
    </row>
    <row r="400" spans="1:9" ht="15.75" thickBot="1" x14ac:dyDescent="0.3">
      <c r="A400" s="4" t="s">
        <v>71</v>
      </c>
      <c r="B400" s="5" t="s">
        <v>21</v>
      </c>
      <c r="C400" s="5" t="s">
        <v>94</v>
      </c>
      <c r="D400" s="5" t="s">
        <v>23</v>
      </c>
      <c r="E400" s="5" t="s">
        <v>63</v>
      </c>
      <c r="F400" s="5" t="s">
        <v>53</v>
      </c>
      <c r="G400" s="6">
        <v>7</v>
      </c>
      <c r="H400" s="5" t="s">
        <v>42</v>
      </c>
      <c r="I400" s="3"/>
    </row>
    <row r="401" spans="1:9" ht="15.75" thickBot="1" x14ac:dyDescent="0.3">
      <c r="A401" s="10">
        <v>46115</v>
      </c>
      <c r="B401" s="8" t="s">
        <v>101</v>
      </c>
      <c r="C401" s="8" t="s">
        <v>10</v>
      </c>
      <c r="D401" s="8" t="s">
        <v>11</v>
      </c>
      <c r="E401" s="8" t="s">
        <v>78</v>
      </c>
      <c r="F401" s="8" t="s">
        <v>49</v>
      </c>
      <c r="G401" s="9">
        <v>8</v>
      </c>
      <c r="H401" s="8" t="s">
        <v>42</v>
      </c>
      <c r="I401" s="3"/>
    </row>
    <row r="402" spans="1:9" ht="15.75" thickBot="1" x14ac:dyDescent="0.3">
      <c r="A402" s="11">
        <v>46146</v>
      </c>
      <c r="B402" s="5" t="s">
        <v>74</v>
      </c>
      <c r="C402" s="5" t="s">
        <v>35</v>
      </c>
      <c r="D402" s="5" t="s">
        <v>11</v>
      </c>
      <c r="E402" s="5" t="s">
        <v>83</v>
      </c>
      <c r="F402" s="5" t="s">
        <v>103</v>
      </c>
      <c r="G402" s="6">
        <v>13</v>
      </c>
      <c r="H402" s="5" t="s">
        <v>50</v>
      </c>
      <c r="I402" s="3"/>
    </row>
    <row r="403" spans="1:9" ht="15.75" thickBot="1" x14ac:dyDescent="0.3">
      <c r="A403" s="7" t="s">
        <v>189</v>
      </c>
      <c r="B403" s="8" t="s">
        <v>55</v>
      </c>
      <c r="C403" s="8" t="s">
        <v>27</v>
      </c>
      <c r="D403" s="8" t="s">
        <v>43</v>
      </c>
      <c r="E403" s="8" t="s">
        <v>83</v>
      </c>
      <c r="F403" s="8" t="s">
        <v>13</v>
      </c>
      <c r="G403" s="9">
        <v>14</v>
      </c>
      <c r="H403" s="8" t="s">
        <v>19</v>
      </c>
      <c r="I403" s="3"/>
    </row>
    <row r="404" spans="1:9" ht="15.75" thickBot="1" x14ac:dyDescent="0.3">
      <c r="A404" s="4" t="s">
        <v>82</v>
      </c>
      <c r="B404" s="5" t="s">
        <v>85</v>
      </c>
      <c r="C404" s="5" t="s">
        <v>94</v>
      </c>
      <c r="D404" s="5" t="s">
        <v>43</v>
      </c>
      <c r="E404" s="5" t="s">
        <v>32</v>
      </c>
      <c r="F404" s="5" t="s">
        <v>49</v>
      </c>
      <c r="G404" s="6">
        <v>11</v>
      </c>
      <c r="H404" s="5" t="s">
        <v>50</v>
      </c>
      <c r="I404" s="3"/>
    </row>
    <row r="405" spans="1:9" ht="15.75" thickBot="1" x14ac:dyDescent="0.3">
      <c r="A405" s="10">
        <v>46204</v>
      </c>
      <c r="B405" s="8" t="s">
        <v>30</v>
      </c>
      <c r="C405" s="8" t="s">
        <v>90</v>
      </c>
      <c r="D405" s="8" t="s">
        <v>23</v>
      </c>
      <c r="E405" s="8" t="s">
        <v>63</v>
      </c>
      <c r="F405" s="8" t="s">
        <v>73</v>
      </c>
      <c r="G405" s="9">
        <v>14</v>
      </c>
      <c r="H405" s="8" t="s">
        <v>19</v>
      </c>
      <c r="I405" s="3"/>
    </row>
    <row r="406" spans="1:9" ht="15.75" thickBot="1" x14ac:dyDescent="0.3">
      <c r="A406" s="4" t="s">
        <v>71</v>
      </c>
      <c r="B406" s="5" t="s">
        <v>40</v>
      </c>
      <c r="C406" s="5" t="s">
        <v>22</v>
      </c>
      <c r="D406" s="5" t="s">
        <v>11</v>
      </c>
      <c r="E406" s="5" t="s">
        <v>18</v>
      </c>
      <c r="F406" s="5" t="s">
        <v>49</v>
      </c>
      <c r="G406" s="6">
        <v>13</v>
      </c>
      <c r="H406" s="5" t="s">
        <v>14</v>
      </c>
      <c r="I406" s="3"/>
    </row>
    <row r="407" spans="1:9" ht="15.75" thickBot="1" x14ac:dyDescent="0.3">
      <c r="A407" s="7" t="s">
        <v>95</v>
      </c>
      <c r="B407" s="8" t="s">
        <v>57</v>
      </c>
      <c r="C407" s="8" t="s">
        <v>31</v>
      </c>
      <c r="D407" s="8" t="s">
        <v>17</v>
      </c>
      <c r="E407" s="8" t="s">
        <v>18</v>
      </c>
      <c r="F407" s="8" t="s">
        <v>38</v>
      </c>
      <c r="G407" s="9">
        <v>9</v>
      </c>
      <c r="H407" s="8" t="s">
        <v>50</v>
      </c>
      <c r="I407" s="3"/>
    </row>
    <row r="408" spans="1:9" ht="15.75" thickBot="1" x14ac:dyDescent="0.3">
      <c r="A408" s="4" t="s">
        <v>190</v>
      </c>
      <c r="B408" s="5" t="s">
        <v>57</v>
      </c>
      <c r="C408" s="5" t="s">
        <v>35</v>
      </c>
      <c r="D408" s="5" t="s">
        <v>43</v>
      </c>
      <c r="E408" s="5" t="s">
        <v>115</v>
      </c>
      <c r="F408" s="5" t="s">
        <v>73</v>
      </c>
      <c r="G408" s="6">
        <v>6</v>
      </c>
      <c r="H408" s="5" t="s">
        <v>50</v>
      </c>
      <c r="I408" s="3"/>
    </row>
    <row r="409" spans="1:9" ht="15.75" thickBot="1" x14ac:dyDescent="0.3">
      <c r="A409" s="10">
        <v>46210</v>
      </c>
      <c r="B409" s="8" t="s">
        <v>140</v>
      </c>
      <c r="C409" s="8" t="s">
        <v>35</v>
      </c>
      <c r="D409" s="8" t="s">
        <v>36</v>
      </c>
      <c r="E409" s="8" t="s">
        <v>44</v>
      </c>
      <c r="F409" s="8" t="s">
        <v>64</v>
      </c>
      <c r="G409" s="9">
        <v>12</v>
      </c>
      <c r="H409" s="8" t="s">
        <v>42</v>
      </c>
      <c r="I409" s="3"/>
    </row>
    <row r="410" spans="1:9" ht="15.75" thickBot="1" x14ac:dyDescent="0.3">
      <c r="A410" s="4" t="s">
        <v>122</v>
      </c>
      <c r="B410" s="5" t="s">
        <v>34</v>
      </c>
      <c r="C410" s="5" t="s">
        <v>94</v>
      </c>
      <c r="D410" s="5" t="s">
        <v>23</v>
      </c>
      <c r="E410" s="5" t="s">
        <v>37</v>
      </c>
      <c r="F410" s="5" t="s">
        <v>28</v>
      </c>
      <c r="G410" s="6">
        <v>7</v>
      </c>
      <c r="H410" s="5" t="s">
        <v>14</v>
      </c>
      <c r="I410" s="3"/>
    </row>
    <row r="411" spans="1:9" ht="15.75" thickBot="1" x14ac:dyDescent="0.3">
      <c r="A411" s="7" t="s">
        <v>190</v>
      </c>
      <c r="B411" s="8" t="s">
        <v>101</v>
      </c>
      <c r="C411" s="8" t="s">
        <v>111</v>
      </c>
      <c r="D411" s="8" t="s">
        <v>36</v>
      </c>
      <c r="E411" s="8" t="s">
        <v>115</v>
      </c>
      <c r="F411" s="8" t="s">
        <v>13</v>
      </c>
      <c r="G411" s="9">
        <v>14</v>
      </c>
      <c r="H411" s="8" t="s">
        <v>50</v>
      </c>
      <c r="I411" s="3"/>
    </row>
    <row r="412" spans="1:9" ht="15.75" thickBot="1" x14ac:dyDescent="0.3">
      <c r="A412" s="4" t="s">
        <v>185</v>
      </c>
      <c r="B412" s="5" t="s">
        <v>80</v>
      </c>
      <c r="C412" s="5" t="s">
        <v>66</v>
      </c>
      <c r="D412" s="5" t="s">
        <v>36</v>
      </c>
      <c r="E412" s="5" t="s">
        <v>32</v>
      </c>
      <c r="F412" s="5" t="s">
        <v>73</v>
      </c>
      <c r="G412" s="6">
        <v>8</v>
      </c>
      <c r="H412" s="5" t="s">
        <v>50</v>
      </c>
      <c r="I412" s="3"/>
    </row>
    <row r="413" spans="1:9" ht="15.75" thickBot="1" x14ac:dyDescent="0.3">
      <c r="A413" s="7" t="s">
        <v>121</v>
      </c>
      <c r="B413" s="8" t="s">
        <v>72</v>
      </c>
      <c r="C413" s="8" t="s">
        <v>22</v>
      </c>
      <c r="D413" s="8" t="s">
        <v>11</v>
      </c>
      <c r="E413" s="8" t="s">
        <v>59</v>
      </c>
      <c r="F413" s="8" t="s">
        <v>56</v>
      </c>
      <c r="G413" s="9">
        <v>3</v>
      </c>
      <c r="H413" s="8" t="s">
        <v>14</v>
      </c>
      <c r="I413" s="3"/>
    </row>
    <row r="414" spans="1:9" ht="15.75" thickBot="1" x14ac:dyDescent="0.3">
      <c r="A414" s="11">
        <v>46302</v>
      </c>
      <c r="B414" s="5" t="s">
        <v>30</v>
      </c>
      <c r="C414" s="5" t="s">
        <v>10</v>
      </c>
      <c r="D414" s="5" t="s">
        <v>11</v>
      </c>
      <c r="E414" s="5" t="s">
        <v>63</v>
      </c>
      <c r="F414" s="5" t="s">
        <v>47</v>
      </c>
      <c r="G414" s="6">
        <v>15</v>
      </c>
      <c r="H414" s="5" t="s">
        <v>50</v>
      </c>
      <c r="I414" s="3"/>
    </row>
    <row r="415" spans="1:9" ht="15.75" thickBot="1" x14ac:dyDescent="0.3">
      <c r="A415" s="7" t="s">
        <v>100</v>
      </c>
      <c r="B415" s="8" t="s">
        <v>48</v>
      </c>
      <c r="C415" s="8" t="s">
        <v>111</v>
      </c>
      <c r="D415" s="8" t="s">
        <v>43</v>
      </c>
      <c r="E415" s="8" t="s">
        <v>67</v>
      </c>
      <c r="F415" s="8" t="s">
        <v>38</v>
      </c>
      <c r="G415" s="9">
        <v>5</v>
      </c>
      <c r="H415" s="8" t="s">
        <v>19</v>
      </c>
      <c r="I415" s="3"/>
    </row>
    <row r="416" spans="1:9" ht="15.75" thickBot="1" x14ac:dyDescent="0.3">
      <c r="A416" s="11">
        <v>46178</v>
      </c>
      <c r="B416" s="5" t="s">
        <v>48</v>
      </c>
      <c r="C416" s="5" t="s">
        <v>27</v>
      </c>
      <c r="D416" s="5" t="s">
        <v>23</v>
      </c>
      <c r="E416" s="5" t="s">
        <v>52</v>
      </c>
      <c r="F416" s="5" t="s">
        <v>33</v>
      </c>
      <c r="G416" s="6">
        <v>2</v>
      </c>
      <c r="H416" s="5" t="s">
        <v>19</v>
      </c>
      <c r="I416" s="3"/>
    </row>
    <row r="417" spans="1:9" ht="15.75" thickBot="1" x14ac:dyDescent="0.3">
      <c r="A417" s="7" t="s">
        <v>190</v>
      </c>
      <c r="B417" s="8" t="s">
        <v>34</v>
      </c>
      <c r="C417" s="8" t="s">
        <v>31</v>
      </c>
      <c r="D417" s="8" t="s">
        <v>17</v>
      </c>
      <c r="E417" s="8" t="s">
        <v>59</v>
      </c>
      <c r="F417" s="8" t="s">
        <v>28</v>
      </c>
      <c r="G417" s="9">
        <v>14</v>
      </c>
      <c r="H417" s="8" t="s">
        <v>42</v>
      </c>
      <c r="I417" s="3"/>
    </row>
    <row r="418" spans="1:9" ht="15.75" thickBot="1" x14ac:dyDescent="0.3">
      <c r="A418" s="4" t="s">
        <v>116</v>
      </c>
      <c r="B418" s="5" t="s">
        <v>40</v>
      </c>
      <c r="C418" s="5" t="s">
        <v>10</v>
      </c>
      <c r="D418" s="5" t="s">
        <v>43</v>
      </c>
      <c r="E418" s="5" t="s">
        <v>138</v>
      </c>
      <c r="F418" s="5" t="s">
        <v>25</v>
      </c>
      <c r="G418" s="6">
        <v>5</v>
      </c>
      <c r="H418" s="5" t="s">
        <v>14</v>
      </c>
      <c r="I418" s="3"/>
    </row>
    <row r="419" spans="1:9" ht="15.75" thickBot="1" x14ac:dyDescent="0.3">
      <c r="A419" s="7" t="s">
        <v>191</v>
      </c>
      <c r="B419" s="8" t="s">
        <v>88</v>
      </c>
      <c r="C419" s="8" t="s">
        <v>46</v>
      </c>
      <c r="D419" s="8" t="s">
        <v>36</v>
      </c>
      <c r="E419" s="8" t="s">
        <v>52</v>
      </c>
      <c r="F419" s="8" t="s">
        <v>53</v>
      </c>
      <c r="G419" s="9">
        <v>13</v>
      </c>
      <c r="H419" s="8" t="s">
        <v>50</v>
      </c>
      <c r="I419" s="3"/>
    </row>
    <row r="420" spans="1:9" ht="15.75" thickBot="1" x14ac:dyDescent="0.3">
      <c r="A420" s="4" t="s">
        <v>20</v>
      </c>
      <c r="B420" s="5" t="s">
        <v>107</v>
      </c>
      <c r="C420" s="5" t="s">
        <v>10</v>
      </c>
      <c r="D420" s="5" t="s">
        <v>23</v>
      </c>
      <c r="E420" s="5" t="s">
        <v>44</v>
      </c>
      <c r="F420" s="5" t="s">
        <v>33</v>
      </c>
      <c r="G420" s="6">
        <v>3</v>
      </c>
      <c r="H420" s="5" t="s">
        <v>14</v>
      </c>
      <c r="I420" s="3"/>
    </row>
    <row r="421" spans="1:9" ht="15.75" thickBot="1" x14ac:dyDescent="0.3">
      <c r="A421" s="10">
        <v>46176</v>
      </c>
      <c r="B421" s="8" t="s">
        <v>118</v>
      </c>
      <c r="C421" s="8" t="s">
        <v>10</v>
      </c>
      <c r="D421" s="8" t="s">
        <v>23</v>
      </c>
      <c r="E421" s="8" t="s">
        <v>32</v>
      </c>
      <c r="F421" s="8" t="s">
        <v>86</v>
      </c>
      <c r="G421" s="9">
        <v>8</v>
      </c>
      <c r="H421" s="8" t="s">
        <v>19</v>
      </c>
      <c r="I421" s="3"/>
    </row>
    <row r="422" spans="1:9" ht="15.75" thickBot="1" x14ac:dyDescent="0.3">
      <c r="A422" s="11">
        <v>46030</v>
      </c>
      <c r="B422" s="5" t="s">
        <v>92</v>
      </c>
      <c r="C422" s="5" t="s">
        <v>35</v>
      </c>
      <c r="D422" s="5" t="s">
        <v>11</v>
      </c>
      <c r="E422" s="5" t="s">
        <v>32</v>
      </c>
      <c r="F422" s="5" t="s">
        <v>86</v>
      </c>
      <c r="G422" s="6">
        <v>1</v>
      </c>
      <c r="H422" s="5" t="s">
        <v>50</v>
      </c>
      <c r="I422" s="3"/>
    </row>
    <row r="423" spans="1:9" ht="15.75" thickBot="1" x14ac:dyDescent="0.3">
      <c r="A423" s="7" t="s">
        <v>156</v>
      </c>
      <c r="B423" s="8" t="s">
        <v>61</v>
      </c>
      <c r="C423" s="8" t="s">
        <v>31</v>
      </c>
      <c r="D423" s="8" t="s">
        <v>36</v>
      </c>
      <c r="E423" s="8" t="s">
        <v>78</v>
      </c>
      <c r="F423" s="8" t="s">
        <v>33</v>
      </c>
      <c r="G423" s="9">
        <v>5</v>
      </c>
      <c r="H423" s="8" t="s">
        <v>42</v>
      </c>
      <c r="I423" s="3"/>
    </row>
    <row r="424" spans="1:9" ht="15.75" thickBot="1" x14ac:dyDescent="0.3">
      <c r="A424" s="11">
        <v>46149</v>
      </c>
      <c r="B424" s="5" t="s">
        <v>118</v>
      </c>
      <c r="C424" s="5" t="s">
        <v>62</v>
      </c>
      <c r="D424" s="5" t="s">
        <v>23</v>
      </c>
      <c r="E424" s="5" t="s">
        <v>63</v>
      </c>
      <c r="F424" s="5" t="s">
        <v>53</v>
      </c>
      <c r="G424" s="6">
        <v>8</v>
      </c>
      <c r="H424" s="5" t="s">
        <v>14</v>
      </c>
      <c r="I424" s="3"/>
    </row>
    <row r="425" spans="1:9" ht="15.75" thickBot="1" x14ac:dyDescent="0.3">
      <c r="A425" s="7" t="s">
        <v>190</v>
      </c>
      <c r="B425" s="8" t="s">
        <v>61</v>
      </c>
      <c r="C425" s="8" t="s">
        <v>46</v>
      </c>
      <c r="D425" s="8" t="s">
        <v>36</v>
      </c>
      <c r="E425" s="8" t="s">
        <v>67</v>
      </c>
      <c r="F425" s="8" t="s">
        <v>41</v>
      </c>
      <c r="G425" s="9">
        <v>4</v>
      </c>
      <c r="H425" s="8" t="s">
        <v>19</v>
      </c>
      <c r="I425" s="3"/>
    </row>
    <row r="426" spans="1:9" ht="15.75" thickBot="1" x14ac:dyDescent="0.3">
      <c r="A426" s="4" t="s">
        <v>192</v>
      </c>
      <c r="B426" s="5" t="s">
        <v>85</v>
      </c>
      <c r="C426" s="5" t="s">
        <v>62</v>
      </c>
      <c r="D426" s="5" t="s">
        <v>36</v>
      </c>
      <c r="E426" s="5" t="s">
        <v>52</v>
      </c>
      <c r="F426" s="5" t="s">
        <v>33</v>
      </c>
      <c r="G426" s="6">
        <v>4</v>
      </c>
      <c r="H426" s="5" t="s">
        <v>19</v>
      </c>
      <c r="I426" s="3"/>
    </row>
    <row r="427" spans="1:9" ht="15.75" thickBot="1" x14ac:dyDescent="0.3">
      <c r="A427" s="10">
        <v>46361</v>
      </c>
      <c r="B427" s="8" t="s">
        <v>140</v>
      </c>
      <c r="C427" s="8" t="s">
        <v>31</v>
      </c>
      <c r="D427" s="8" t="s">
        <v>17</v>
      </c>
      <c r="E427" s="8" t="s">
        <v>67</v>
      </c>
      <c r="F427" s="8" t="s">
        <v>73</v>
      </c>
      <c r="G427" s="9">
        <v>10</v>
      </c>
      <c r="H427" s="8" t="s">
        <v>19</v>
      </c>
      <c r="I427" s="3"/>
    </row>
    <row r="428" spans="1:9" ht="15.75" thickBot="1" x14ac:dyDescent="0.3">
      <c r="A428" s="11">
        <v>46267</v>
      </c>
      <c r="B428" s="5" t="s">
        <v>140</v>
      </c>
      <c r="C428" s="5" t="s">
        <v>10</v>
      </c>
      <c r="D428" s="5" t="s">
        <v>11</v>
      </c>
      <c r="E428" s="5" t="s">
        <v>63</v>
      </c>
      <c r="F428" s="5" t="s">
        <v>13</v>
      </c>
      <c r="G428" s="6">
        <v>8</v>
      </c>
      <c r="H428" s="5" t="s">
        <v>42</v>
      </c>
      <c r="I428" s="3"/>
    </row>
    <row r="429" spans="1:9" ht="15.75" thickBot="1" x14ac:dyDescent="0.3">
      <c r="A429" s="7" t="s">
        <v>153</v>
      </c>
      <c r="B429" s="8" t="s">
        <v>85</v>
      </c>
      <c r="C429" s="8" t="s">
        <v>70</v>
      </c>
      <c r="D429" s="8" t="s">
        <v>23</v>
      </c>
      <c r="E429" s="8" t="s">
        <v>37</v>
      </c>
      <c r="F429" s="8" t="s">
        <v>33</v>
      </c>
      <c r="G429" s="9">
        <v>5</v>
      </c>
      <c r="H429" s="8" t="s">
        <v>14</v>
      </c>
      <c r="I429" s="3"/>
    </row>
    <row r="430" spans="1:9" ht="15.75" thickBot="1" x14ac:dyDescent="0.3">
      <c r="A430" s="4" t="s">
        <v>145</v>
      </c>
      <c r="B430" s="5" t="s">
        <v>140</v>
      </c>
      <c r="C430" s="5" t="s">
        <v>31</v>
      </c>
      <c r="D430" s="5" t="s">
        <v>11</v>
      </c>
      <c r="E430" s="5" t="s">
        <v>44</v>
      </c>
      <c r="F430" s="5" t="s">
        <v>103</v>
      </c>
      <c r="G430" s="6">
        <v>2</v>
      </c>
      <c r="H430" s="5" t="s">
        <v>19</v>
      </c>
      <c r="I430" s="3"/>
    </row>
    <row r="431" spans="1:9" ht="15.75" thickBot="1" x14ac:dyDescent="0.3">
      <c r="A431" s="10">
        <v>46180</v>
      </c>
      <c r="B431" s="8" t="s">
        <v>40</v>
      </c>
      <c r="C431" s="8" t="s">
        <v>62</v>
      </c>
      <c r="D431" s="8" t="s">
        <v>11</v>
      </c>
      <c r="E431" s="8" t="s">
        <v>44</v>
      </c>
      <c r="F431" s="8" t="s">
        <v>103</v>
      </c>
      <c r="G431" s="9">
        <v>6</v>
      </c>
      <c r="H431" s="8" t="s">
        <v>50</v>
      </c>
      <c r="I431" s="3"/>
    </row>
    <row r="432" spans="1:9" ht="15.75" thickBot="1" x14ac:dyDescent="0.3">
      <c r="A432" s="4" t="s">
        <v>193</v>
      </c>
      <c r="B432" s="5" t="s">
        <v>55</v>
      </c>
      <c r="C432" s="5" t="s">
        <v>70</v>
      </c>
      <c r="D432" s="5" t="s">
        <v>36</v>
      </c>
      <c r="E432" s="5" t="s">
        <v>78</v>
      </c>
      <c r="F432" s="5" t="s">
        <v>56</v>
      </c>
      <c r="G432" s="6">
        <v>7</v>
      </c>
      <c r="H432" s="5" t="s">
        <v>42</v>
      </c>
      <c r="I432" s="3"/>
    </row>
    <row r="433" spans="1:9" ht="15.75" thickBot="1" x14ac:dyDescent="0.3">
      <c r="A433" s="7" t="s">
        <v>183</v>
      </c>
      <c r="B433" s="8" t="s">
        <v>26</v>
      </c>
      <c r="C433" s="8" t="s">
        <v>22</v>
      </c>
      <c r="D433" s="8" t="s">
        <v>23</v>
      </c>
      <c r="E433" s="8" t="s">
        <v>83</v>
      </c>
      <c r="F433" s="8" t="s">
        <v>47</v>
      </c>
      <c r="G433" s="9">
        <v>3</v>
      </c>
      <c r="H433" s="8" t="s">
        <v>19</v>
      </c>
      <c r="I433" s="3"/>
    </row>
    <row r="434" spans="1:9" ht="15.75" thickBot="1" x14ac:dyDescent="0.3">
      <c r="A434" s="4" t="s">
        <v>155</v>
      </c>
      <c r="B434" s="5" t="s">
        <v>9</v>
      </c>
      <c r="C434" s="5" t="s">
        <v>22</v>
      </c>
      <c r="D434" s="5" t="s">
        <v>43</v>
      </c>
      <c r="E434" s="5" t="s">
        <v>52</v>
      </c>
      <c r="F434" s="5" t="s">
        <v>103</v>
      </c>
      <c r="G434" s="6">
        <v>5</v>
      </c>
      <c r="H434" s="5" t="s">
        <v>14</v>
      </c>
      <c r="I434" s="3"/>
    </row>
    <row r="435" spans="1:9" ht="15.75" thickBot="1" x14ac:dyDescent="0.3">
      <c r="A435" s="7" t="s">
        <v>129</v>
      </c>
      <c r="B435" s="8" t="s">
        <v>21</v>
      </c>
      <c r="C435" s="8" t="s">
        <v>90</v>
      </c>
      <c r="D435" s="8" t="s">
        <v>23</v>
      </c>
      <c r="E435" s="8" t="s">
        <v>52</v>
      </c>
      <c r="F435" s="8" t="s">
        <v>41</v>
      </c>
      <c r="G435" s="9">
        <v>3</v>
      </c>
      <c r="H435" s="8" t="s">
        <v>14</v>
      </c>
      <c r="I435" s="3"/>
    </row>
    <row r="436" spans="1:9" ht="15.75" thickBot="1" x14ac:dyDescent="0.3">
      <c r="A436" s="11">
        <v>46145</v>
      </c>
      <c r="B436" s="5" t="s">
        <v>88</v>
      </c>
      <c r="C436" s="5" t="s">
        <v>90</v>
      </c>
      <c r="D436" s="5" t="s">
        <v>11</v>
      </c>
      <c r="E436" s="5" t="s">
        <v>115</v>
      </c>
      <c r="F436" s="5" t="s">
        <v>56</v>
      </c>
      <c r="G436" s="6">
        <v>7</v>
      </c>
      <c r="H436" s="5" t="s">
        <v>42</v>
      </c>
      <c r="I436" s="3"/>
    </row>
    <row r="437" spans="1:9" ht="15.75" thickBot="1" x14ac:dyDescent="0.3">
      <c r="A437" s="10">
        <v>46058</v>
      </c>
      <c r="B437" s="8" t="s">
        <v>61</v>
      </c>
      <c r="C437" s="8" t="s">
        <v>62</v>
      </c>
      <c r="D437" s="8" t="s">
        <v>43</v>
      </c>
      <c r="E437" s="8" t="s">
        <v>32</v>
      </c>
      <c r="F437" s="8" t="s">
        <v>47</v>
      </c>
      <c r="G437" s="9">
        <v>3</v>
      </c>
      <c r="H437" s="8" t="s">
        <v>14</v>
      </c>
      <c r="I437" s="3"/>
    </row>
    <row r="438" spans="1:9" ht="15.75" thickBot="1" x14ac:dyDescent="0.3">
      <c r="A438" s="4" t="s">
        <v>68</v>
      </c>
      <c r="B438" s="5" t="s">
        <v>107</v>
      </c>
      <c r="C438" s="5" t="s">
        <v>22</v>
      </c>
      <c r="D438" s="5" t="s">
        <v>23</v>
      </c>
      <c r="E438" s="5" t="s">
        <v>52</v>
      </c>
      <c r="F438" s="5" t="s">
        <v>56</v>
      </c>
      <c r="G438" s="6">
        <v>8</v>
      </c>
      <c r="H438" s="5" t="s">
        <v>42</v>
      </c>
      <c r="I438" s="3"/>
    </row>
    <row r="439" spans="1:9" ht="15.75" thickBot="1" x14ac:dyDescent="0.3">
      <c r="A439" s="7" t="s">
        <v>150</v>
      </c>
      <c r="B439" s="8" t="s">
        <v>61</v>
      </c>
      <c r="C439" s="8" t="s">
        <v>31</v>
      </c>
      <c r="D439" s="8" t="s">
        <v>11</v>
      </c>
      <c r="E439" s="8" t="s">
        <v>83</v>
      </c>
      <c r="F439" s="8" t="s">
        <v>64</v>
      </c>
      <c r="G439" s="9">
        <v>3</v>
      </c>
      <c r="H439" s="8" t="s">
        <v>19</v>
      </c>
      <c r="I439" s="3"/>
    </row>
    <row r="440" spans="1:9" ht="15.75" thickBot="1" x14ac:dyDescent="0.3">
      <c r="A440" s="11">
        <v>46059</v>
      </c>
      <c r="B440" s="5" t="s">
        <v>58</v>
      </c>
      <c r="C440" s="5" t="s">
        <v>27</v>
      </c>
      <c r="D440" s="5" t="s">
        <v>36</v>
      </c>
      <c r="E440" s="5" t="s">
        <v>67</v>
      </c>
      <c r="F440" s="5" t="s">
        <v>41</v>
      </c>
      <c r="G440" s="6">
        <v>5</v>
      </c>
      <c r="H440" s="5" t="s">
        <v>42</v>
      </c>
      <c r="I440" s="3"/>
    </row>
    <row r="441" spans="1:9" ht="15.75" thickBot="1" x14ac:dyDescent="0.3">
      <c r="A441" s="7" t="s">
        <v>165</v>
      </c>
      <c r="B441" s="8" t="s">
        <v>9</v>
      </c>
      <c r="C441" s="8" t="s">
        <v>31</v>
      </c>
      <c r="D441" s="8" t="s">
        <v>11</v>
      </c>
      <c r="E441" s="8" t="s">
        <v>52</v>
      </c>
      <c r="F441" s="8" t="s">
        <v>56</v>
      </c>
      <c r="G441" s="9">
        <v>3</v>
      </c>
      <c r="H441" s="8" t="s">
        <v>50</v>
      </c>
      <c r="I441" s="3"/>
    </row>
    <row r="442" spans="1:9" ht="15.75" thickBot="1" x14ac:dyDescent="0.3">
      <c r="A442" s="4" t="s">
        <v>168</v>
      </c>
      <c r="B442" s="5" t="s">
        <v>72</v>
      </c>
      <c r="C442" s="5" t="s">
        <v>22</v>
      </c>
      <c r="D442" s="5" t="s">
        <v>17</v>
      </c>
      <c r="E442" s="5" t="s">
        <v>24</v>
      </c>
      <c r="F442" s="5" t="s">
        <v>103</v>
      </c>
      <c r="G442" s="6">
        <v>13</v>
      </c>
      <c r="H442" s="5" t="s">
        <v>19</v>
      </c>
      <c r="I442" s="3"/>
    </row>
    <row r="443" spans="1:9" ht="15.75" thickBot="1" x14ac:dyDescent="0.3">
      <c r="A443" s="10">
        <v>46023</v>
      </c>
      <c r="B443" s="8" t="s">
        <v>26</v>
      </c>
      <c r="C443" s="8" t="s">
        <v>62</v>
      </c>
      <c r="D443" s="8" t="s">
        <v>11</v>
      </c>
      <c r="E443" s="8" t="s">
        <v>24</v>
      </c>
      <c r="F443" s="8" t="s">
        <v>53</v>
      </c>
      <c r="G443" s="9">
        <v>12</v>
      </c>
      <c r="H443" s="8" t="s">
        <v>42</v>
      </c>
      <c r="I443" s="3"/>
    </row>
    <row r="444" spans="1:9" ht="15.75" thickBot="1" x14ac:dyDescent="0.3">
      <c r="A444" s="11">
        <v>46119</v>
      </c>
      <c r="B444" s="5" t="s">
        <v>85</v>
      </c>
      <c r="C444" s="5" t="s">
        <v>70</v>
      </c>
      <c r="D444" s="5" t="s">
        <v>17</v>
      </c>
      <c r="E444" s="5" t="s">
        <v>32</v>
      </c>
      <c r="F444" s="5" t="s">
        <v>41</v>
      </c>
      <c r="G444" s="6">
        <v>3</v>
      </c>
      <c r="H444" s="5" t="s">
        <v>19</v>
      </c>
      <c r="I444" s="3"/>
    </row>
    <row r="445" spans="1:9" ht="15.75" thickBot="1" x14ac:dyDescent="0.3">
      <c r="A445" s="7" t="s">
        <v>179</v>
      </c>
      <c r="B445" s="8" t="s">
        <v>57</v>
      </c>
      <c r="C445" s="8" t="s">
        <v>66</v>
      </c>
      <c r="D445" s="8" t="s">
        <v>43</v>
      </c>
      <c r="E445" s="8" t="s">
        <v>52</v>
      </c>
      <c r="F445" s="8" t="s">
        <v>28</v>
      </c>
      <c r="G445" s="9">
        <v>2</v>
      </c>
      <c r="H445" s="8" t="s">
        <v>42</v>
      </c>
      <c r="I445" s="3"/>
    </row>
    <row r="446" spans="1:9" ht="15.75" thickBot="1" x14ac:dyDescent="0.3">
      <c r="A446" s="11">
        <v>46148</v>
      </c>
      <c r="B446" s="5" t="s">
        <v>34</v>
      </c>
      <c r="C446" s="5" t="s">
        <v>46</v>
      </c>
      <c r="D446" s="5" t="s">
        <v>17</v>
      </c>
      <c r="E446" s="5" t="s">
        <v>83</v>
      </c>
      <c r="F446" s="5" t="s">
        <v>49</v>
      </c>
      <c r="G446" s="6">
        <v>14</v>
      </c>
      <c r="H446" s="5" t="s">
        <v>42</v>
      </c>
      <c r="I446" s="3"/>
    </row>
    <row r="447" spans="1:9" ht="15.75" thickBot="1" x14ac:dyDescent="0.3">
      <c r="A447" s="7" t="s">
        <v>130</v>
      </c>
      <c r="B447" s="8" t="s">
        <v>140</v>
      </c>
      <c r="C447" s="8" t="s">
        <v>46</v>
      </c>
      <c r="D447" s="8" t="s">
        <v>11</v>
      </c>
      <c r="E447" s="8" t="s">
        <v>24</v>
      </c>
      <c r="F447" s="8" t="s">
        <v>41</v>
      </c>
      <c r="G447" s="9">
        <v>4</v>
      </c>
      <c r="H447" s="8" t="s">
        <v>50</v>
      </c>
      <c r="I447" s="3"/>
    </row>
    <row r="448" spans="1:9" ht="15.75" thickBot="1" x14ac:dyDescent="0.3">
      <c r="A448" s="11">
        <v>46363</v>
      </c>
      <c r="B448" s="5" t="s">
        <v>16</v>
      </c>
      <c r="C448" s="5" t="s">
        <v>46</v>
      </c>
      <c r="D448" s="5" t="s">
        <v>11</v>
      </c>
      <c r="E448" s="5" t="s">
        <v>18</v>
      </c>
      <c r="F448" s="5" t="s">
        <v>13</v>
      </c>
      <c r="G448" s="6">
        <v>4</v>
      </c>
      <c r="H448" s="5" t="s">
        <v>42</v>
      </c>
      <c r="I448" s="3"/>
    </row>
    <row r="449" spans="1:9" ht="15.75" thickBot="1" x14ac:dyDescent="0.3">
      <c r="A449" s="7" t="s">
        <v>98</v>
      </c>
      <c r="B449" s="8" t="s">
        <v>26</v>
      </c>
      <c r="C449" s="8" t="s">
        <v>10</v>
      </c>
      <c r="D449" s="8" t="s">
        <v>43</v>
      </c>
      <c r="E449" s="8" t="s">
        <v>52</v>
      </c>
      <c r="F449" s="8" t="s">
        <v>25</v>
      </c>
      <c r="G449" s="9">
        <v>4</v>
      </c>
      <c r="H449" s="8" t="s">
        <v>19</v>
      </c>
      <c r="I449" s="3"/>
    </row>
    <row r="450" spans="1:9" ht="15.75" thickBot="1" x14ac:dyDescent="0.3">
      <c r="A450" s="11">
        <v>46334</v>
      </c>
      <c r="B450" s="5" t="s">
        <v>92</v>
      </c>
      <c r="C450" s="5" t="s">
        <v>66</v>
      </c>
      <c r="D450" s="5" t="s">
        <v>17</v>
      </c>
      <c r="E450" s="5" t="s">
        <v>37</v>
      </c>
      <c r="F450" s="5" t="s">
        <v>13</v>
      </c>
      <c r="G450" s="6">
        <v>1</v>
      </c>
      <c r="H450" s="5" t="s">
        <v>42</v>
      </c>
      <c r="I450" s="3"/>
    </row>
    <row r="451" spans="1:9" ht="15.75" thickBot="1" x14ac:dyDescent="0.3">
      <c r="A451" s="10">
        <v>46120</v>
      </c>
      <c r="B451" s="8" t="s">
        <v>80</v>
      </c>
      <c r="C451" s="8" t="s">
        <v>46</v>
      </c>
      <c r="D451" s="8" t="s">
        <v>11</v>
      </c>
      <c r="E451" s="8" t="s">
        <v>59</v>
      </c>
      <c r="F451" s="8" t="s">
        <v>103</v>
      </c>
      <c r="G451" s="9">
        <v>5</v>
      </c>
      <c r="H451" s="8" t="s">
        <v>42</v>
      </c>
      <c r="I451" s="3"/>
    </row>
    <row r="452" spans="1:9" ht="15.75" thickBot="1" x14ac:dyDescent="0.3">
      <c r="A452" s="4" t="s">
        <v>102</v>
      </c>
      <c r="B452" s="5" t="s">
        <v>55</v>
      </c>
      <c r="C452" s="5" t="s">
        <v>10</v>
      </c>
      <c r="D452" s="5" t="s">
        <v>43</v>
      </c>
      <c r="E452" s="5" t="s">
        <v>83</v>
      </c>
      <c r="F452" s="5" t="s">
        <v>47</v>
      </c>
      <c r="G452" s="6">
        <v>5</v>
      </c>
      <c r="H452" s="5" t="s">
        <v>42</v>
      </c>
      <c r="I452" s="3"/>
    </row>
    <row r="453" spans="1:9" ht="15.75" thickBot="1" x14ac:dyDescent="0.3">
      <c r="A453" s="10">
        <v>46235</v>
      </c>
      <c r="B453" s="8" t="s">
        <v>88</v>
      </c>
      <c r="C453" s="8" t="s">
        <v>46</v>
      </c>
      <c r="D453" s="8" t="s">
        <v>36</v>
      </c>
      <c r="E453" s="8" t="s">
        <v>78</v>
      </c>
      <c r="F453" s="8" t="s">
        <v>38</v>
      </c>
      <c r="G453" s="9">
        <v>3</v>
      </c>
      <c r="H453" s="8" t="s">
        <v>42</v>
      </c>
      <c r="I453" s="3"/>
    </row>
    <row r="454" spans="1:9" ht="15.75" thickBot="1" x14ac:dyDescent="0.3">
      <c r="A454" s="4" t="s">
        <v>60</v>
      </c>
      <c r="B454" s="5" t="s">
        <v>140</v>
      </c>
      <c r="C454" s="5" t="s">
        <v>22</v>
      </c>
      <c r="D454" s="5" t="s">
        <v>36</v>
      </c>
      <c r="E454" s="5" t="s">
        <v>76</v>
      </c>
      <c r="F454" s="5" t="s">
        <v>56</v>
      </c>
      <c r="G454" s="6">
        <v>11</v>
      </c>
      <c r="H454" s="5" t="s">
        <v>14</v>
      </c>
      <c r="I454" s="3"/>
    </row>
    <row r="455" spans="1:9" ht="15.75" thickBot="1" x14ac:dyDescent="0.3">
      <c r="A455" s="10">
        <v>46030</v>
      </c>
      <c r="B455" s="8" t="s">
        <v>30</v>
      </c>
      <c r="C455" s="8" t="s">
        <v>70</v>
      </c>
      <c r="D455" s="8" t="s">
        <v>17</v>
      </c>
      <c r="E455" s="8" t="s">
        <v>24</v>
      </c>
      <c r="F455" s="8" t="s">
        <v>103</v>
      </c>
      <c r="G455" s="9">
        <v>9</v>
      </c>
      <c r="H455" s="8" t="s">
        <v>50</v>
      </c>
      <c r="I455" s="3"/>
    </row>
    <row r="456" spans="1:9" ht="15.75" thickBot="1" x14ac:dyDescent="0.3">
      <c r="A456" s="4" t="s">
        <v>125</v>
      </c>
      <c r="B456" s="5" t="s">
        <v>72</v>
      </c>
      <c r="C456" s="5" t="s">
        <v>10</v>
      </c>
      <c r="D456" s="5" t="s">
        <v>36</v>
      </c>
      <c r="E456" s="5" t="s">
        <v>83</v>
      </c>
      <c r="F456" s="5" t="s">
        <v>41</v>
      </c>
      <c r="G456" s="6">
        <v>15</v>
      </c>
      <c r="H456" s="5" t="s">
        <v>14</v>
      </c>
      <c r="I456" s="3"/>
    </row>
    <row r="457" spans="1:9" ht="15.75" thickBot="1" x14ac:dyDescent="0.3">
      <c r="A457" s="7" t="s">
        <v>134</v>
      </c>
      <c r="B457" s="8" t="s">
        <v>74</v>
      </c>
      <c r="C457" s="8" t="s">
        <v>70</v>
      </c>
      <c r="D457" s="8" t="s">
        <v>36</v>
      </c>
      <c r="E457" s="8" t="s">
        <v>83</v>
      </c>
      <c r="F457" s="8" t="s">
        <v>33</v>
      </c>
      <c r="G457" s="9">
        <v>10</v>
      </c>
      <c r="H457" s="8" t="s">
        <v>42</v>
      </c>
      <c r="I457" s="3"/>
    </row>
    <row r="458" spans="1:9" ht="15.75" thickBot="1" x14ac:dyDescent="0.3">
      <c r="A458" s="11">
        <v>46056</v>
      </c>
      <c r="B458" s="5" t="s">
        <v>118</v>
      </c>
      <c r="C458" s="5" t="s">
        <v>22</v>
      </c>
      <c r="D458" s="5" t="s">
        <v>43</v>
      </c>
      <c r="E458" s="5" t="s">
        <v>83</v>
      </c>
      <c r="F458" s="5" t="s">
        <v>49</v>
      </c>
      <c r="G458" s="6">
        <v>5</v>
      </c>
      <c r="H458" s="5" t="s">
        <v>42</v>
      </c>
      <c r="I458" s="3"/>
    </row>
    <row r="459" spans="1:9" ht="15.75" thickBot="1" x14ac:dyDescent="0.3">
      <c r="A459" s="7" t="s">
        <v>194</v>
      </c>
      <c r="B459" s="8" t="s">
        <v>118</v>
      </c>
      <c r="C459" s="8" t="s">
        <v>46</v>
      </c>
      <c r="D459" s="8" t="s">
        <v>23</v>
      </c>
      <c r="E459" s="8" t="s">
        <v>52</v>
      </c>
      <c r="F459" s="8" t="s">
        <v>47</v>
      </c>
      <c r="G459" s="9">
        <v>9</v>
      </c>
      <c r="H459" s="8" t="s">
        <v>42</v>
      </c>
      <c r="I459" s="3"/>
    </row>
    <row r="460" spans="1:9" ht="15.75" thickBot="1" x14ac:dyDescent="0.3">
      <c r="A460" s="4" t="s">
        <v>95</v>
      </c>
      <c r="B460" s="5" t="s">
        <v>85</v>
      </c>
      <c r="C460" s="5" t="s">
        <v>46</v>
      </c>
      <c r="D460" s="5" t="s">
        <v>17</v>
      </c>
      <c r="E460" s="5" t="s">
        <v>32</v>
      </c>
      <c r="F460" s="5" t="s">
        <v>86</v>
      </c>
      <c r="G460" s="6">
        <v>1</v>
      </c>
      <c r="H460" s="5" t="s">
        <v>42</v>
      </c>
      <c r="I460" s="3"/>
    </row>
    <row r="461" spans="1:9" ht="15.75" thickBot="1" x14ac:dyDescent="0.3">
      <c r="A461" s="7" t="s">
        <v>81</v>
      </c>
      <c r="B461" s="8" t="s">
        <v>30</v>
      </c>
      <c r="C461" s="8" t="s">
        <v>62</v>
      </c>
      <c r="D461" s="8" t="s">
        <v>36</v>
      </c>
      <c r="E461" s="8" t="s">
        <v>52</v>
      </c>
      <c r="F461" s="8" t="s">
        <v>28</v>
      </c>
      <c r="G461" s="9">
        <v>8</v>
      </c>
      <c r="H461" s="8" t="s">
        <v>19</v>
      </c>
      <c r="I461" s="3"/>
    </row>
    <row r="462" spans="1:9" ht="15.75" thickBot="1" x14ac:dyDescent="0.3">
      <c r="A462" s="11">
        <v>46118</v>
      </c>
      <c r="B462" s="5" t="s">
        <v>72</v>
      </c>
      <c r="C462" s="5" t="s">
        <v>94</v>
      </c>
      <c r="D462" s="5" t="s">
        <v>23</v>
      </c>
      <c r="E462" s="5" t="s">
        <v>52</v>
      </c>
      <c r="F462" s="5" t="s">
        <v>53</v>
      </c>
      <c r="G462" s="6">
        <v>8</v>
      </c>
      <c r="H462" s="5" t="s">
        <v>50</v>
      </c>
      <c r="I462" s="3"/>
    </row>
    <row r="463" spans="1:9" ht="15.75" thickBot="1" x14ac:dyDescent="0.3">
      <c r="A463" s="7" t="s">
        <v>186</v>
      </c>
      <c r="B463" s="8" t="s">
        <v>21</v>
      </c>
      <c r="C463" s="8" t="s">
        <v>94</v>
      </c>
      <c r="D463" s="8" t="s">
        <v>11</v>
      </c>
      <c r="E463" s="8" t="s">
        <v>32</v>
      </c>
      <c r="F463" s="8" t="s">
        <v>49</v>
      </c>
      <c r="G463" s="9">
        <v>9</v>
      </c>
      <c r="H463" s="8" t="s">
        <v>19</v>
      </c>
      <c r="I463" s="3"/>
    </row>
    <row r="464" spans="1:9" ht="15.75" thickBot="1" x14ac:dyDescent="0.3">
      <c r="A464" s="4" t="s">
        <v>123</v>
      </c>
      <c r="B464" s="5" t="s">
        <v>55</v>
      </c>
      <c r="C464" s="5" t="s">
        <v>70</v>
      </c>
      <c r="D464" s="5" t="s">
        <v>17</v>
      </c>
      <c r="E464" s="5" t="s">
        <v>37</v>
      </c>
      <c r="F464" s="5" t="s">
        <v>64</v>
      </c>
      <c r="G464" s="6">
        <v>10</v>
      </c>
      <c r="H464" s="5" t="s">
        <v>14</v>
      </c>
      <c r="I464" s="3"/>
    </row>
    <row r="465" spans="1:9" ht="15.75" thickBot="1" x14ac:dyDescent="0.3">
      <c r="A465" s="10">
        <v>46120</v>
      </c>
      <c r="B465" s="8" t="s">
        <v>40</v>
      </c>
      <c r="C465" s="8" t="s">
        <v>94</v>
      </c>
      <c r="D465" s="8" t="s">
        <v>23</v>
      </c>
      <c r="E465" s="8" t="s">
        <v>52</v>
      </c>
      <c r="F465" s="8" t="s">
        <v>38</v>
      </c>
      <c r="G465" s="9">
        <v>6</v>
      </c>
      <c r="H465" s="8" t="s">
        <v>19</v>
      </c>
      <c r="I465" s="3"/>
    </row>
    <row r="466" spans="1:9" ht="15.75" thickBot="1" x14ac:dyDescent="0.3">
      <c r="A466" s="11">
        <v>46118</v>
      </c>
      <c r="B466" s="5" t="s">
        <v>34</v>
      </c>
      <c r="C466" s="5" t="s">
        <v>10</v>
      </c>
      <c r="D466" s="5" t="s">
        <v>23</v>
      </c>
      <c r="E466" s="5" t="s">
        <v>37</v>
      </c>
      <c r="F466" s="5" t="s">
        <v>38</v>
      </c>
      <c r="G466" s="6">
        <v>4</v>
      </c>
      <c r="H466" s="5" t="s">
        <v>42</v>
      </c>
      <c r="I466" s="3"/>
    </row>
    <row r="467" spans="1:9" ht="15.75" thickBot="1" x14ac:dyDescent="0.3">
      <c r="A467" s="7" t="s">
        <v>122</v>
      </c>
      <c r="B467" s="8" t="s">
        <v>85</v>
      </c>
      <c r="C467" s="8" t="s">
        <v>10</v>
      </c>
      <c r="D467" s="8" t="s">
        <v>17</v>
      </c>
      <c r="E467" s="8" t="s">
        <v>138</v>
      </c>
      <c r="F467" s="8" t="s">
        <v>25</v>
      </c>
      <c r="G467" s="9">
        <v>4</v>
      </c>
      <c r="H467" s="8" t="s">
        <v>14</v>
      </c>
      <c r="I467" s="3"/>
    </row>
    <row r="468" spans="1:9" ht="15.75" thickBot="1" x14ac:dyDescent="0.3">
      <c r="A468" s="4" t="s">
        <v>79</v>
      </c>
      <c r="B468" s="5" t="s">
        <v>26</v>
      </c>
      <c r="C468" s="5" t="s">
        <v>22</v>
      </c>
      <c r="D468" s="5" t="s">
        <v>11</v>
      </c>
      <c r="E468" s="5" t="s">
        <v>76</v>
      </c>
      <c r="F468" s="5" t="s">
        <v>41</v>
      </c>
      <c r="G468" s="6">
        <v>14</v>
      </c>
      <c r="H468" s="5" t="s">
        <v>14</v>
      </c>
      <c r="I468" s="3"/>
    </row>
    <row r="469" spans="1:9" ht="15.75" thickBot="1" x14ac:dyDescent="0.3">
      <c r="A469" s="10">
        <v>46059</v>
      </c>
      <c r="B469" s="8" t="s">
        <v>140</v>
      </c>
      <c r="C469" s="8" t="s">
        <v>10</v>
      </c>
      <c r="D469" s="8" t="s">
        <v>23</v>
      </c>
      <c r="E469" s="8" t="s">
        <v>76</v>
      </c>
      <c r="F469" s="8" t="s">
        <v>41</v>
      </c>
      <c r="G469" s="9">
        <v>8</v>
      </c>
      <c r="H469" s="8" t="s">
        <v>19</v>
      </c>
      <c r="I469" s="3"/>
    </row>
    <row r="470" spans="1:9" ht="15.75" thickBot="1" x14ac:dyDescent="0.3">
      <c r="A470" s="4" t="s">
        <v>124</v>
      </c>
      <c r="B470" s="5" t="s">
        <v>30</v>
      </c>
      <c r="C470" s="5" t="s">
        <v>22</v>
      </c>
      <c r="D470" s="5" t="s">
        <v>17</v>
      </c>
      <c r="E470" s="5" t="s">
        <v>32</v>
      </c>
      <c r="F470" s="5" t="s">
        <v>41</v>
      </c>
      <c r="G470" s="6">
        <v>3</v>
      </c>
      <c r="H470" s="5" t="s">
        <v>19</v>
      </c>
      <c r="I470" s="3"/>
    </row>
    <row r="471" spans="1:9" ht="15.75" thickBot="1" x14ac:dyDescent="0.3">
      <c r="A471" s="7" t="s">
        <v>82</v>
      </c>
      <c r="B471" s="8" t="s">
        <v>107</v>
      </c>
      <c r="C471" s="8" t="s">
        <v>70</v>
      </c>
      <c r="D471" s="8" t="s">
        <v>11</v>
      </c>
      <c r="E471" s="8" t="s">
        <v>32</v>
      </c>
      <c r="F471" s="8" t="s">
        <v>49</v>
      </c>
      <c r="G471" s="9">
        <v>10</v>
      </c>
      <c r="H471" s="8" t="s">
        <v>14</v>
      </c>
      <c r="I471" s="3"/>
    </row>
    <row r="472" spans="1:9" ht="15.75" thickBot="1" x14ac:dyDescent="0.3">
      <c r="A472" s="11">
        <v>46268</v>
      </c>
      <c r="B472" s="5" t="s">
        <v>16</v>
      </c>
      <c r="C472" s="5" t="s">
        <v>27</v>
      </c>
      <c r="D472" s="5" t="s">
        <v>17</v>
      </c>
      <c r="E472" s="5" t="s">
        <v>24</v>
      </c>
      <c r="F472" s="5" t="s">
        <v>38</v>
      </c>
      <c r="G472" s="6">
        <v>7</v>
      </c>
      <c r="H472" s="5" t="s">
        <v>19</v>
      </c>
      <c r="I472" s="3"/>
    </row>
    <row r="473" spans="1:9" ht="15.75" thickBot="1" x14ac:dyDescent="0.3">
      <c r="A473" s="10">
        <v>46241</v>
      </c>
      <c r="B473" s="8" t="s">
        <v>118</v>
      </c>
      <c r="C473" s="8" t="s">
        <v>10</v>
      </c>
      <c r="D473" s="8" t="s">
        <v>17</v>
      </c>
      <c r="E473" s="8" t="s">
        <v>12</v>
      </c>
      <c r="F473" s="8" t="s">
        <v>41</v>
      </c>
      <c r="G473" s="9">
        <v>6</v>
      </c>
      <c r="H473" s="8" t="s">
        <v>50</v>
      </c>
      <c r="I473" s="3"/>
    </row>
    <row r="474" spans="1:9" ht="15.75" thickBot="1" x14ac:dyDescent="0.3">
      <c r="A474" s="11">
        <v>46205</v>
      </c>
      <c r="B474" s="5" t="s">
        <v>21</v>
      </c>
      <c r="C474" s="5" t="s">
        <v>22</v>
      </c>
      <c r="D474" s="5" t="s">
        <v>17</v>
      </c>
      <c r="E474" s="5" t="s">
        <v>18</v>
      </c>
      <c r="F474" s="5" t="s">
        <v>53</v>
      </c>
      <c r="G474" s="6">
        <v>13</v>
      </c>
      <c r="H474" s="5" t="s">
        <v>50</v>
      </c>
      <c r="I474" s="3"/>
    </row>
    <row r="475" spans="1:9" ht="15.75" thickBot="1" x14ac:dyDescent="0.3">
      <c r="A475" s="7" t="s">
        <v>195</v>
      </c>
      <c r="B475" s="8" t="s">
        <v>85</v>
      </c>
      <c r="C475" s="8" t="s">
        <v>70</v>
      </c>
      <c r="D475" s="8" t="s">
        <v>17</v>
      </c>
      <c r="E475" s="8" t="s">
        <v>52</v>
      </c>
      <c r="F475" s="8" t="s">
        <v>25</v>
      </c>
      <c r="G475" s="9">
        <v>4</v>
      </c>
      <c r="H475" s="8" t="s">
        <v>14</v>
      </c>
      <c r="I475" s="3"/>
    </row>
    <row r="476" spans="1:9" ht="15.75" thickBot="1" x14ac:dyDescent="0.3">
      <c r="A476" s="4" t="s">
        <v>196</v>
      </c>
      <c r="B476" s="5" t="s">
        <v>118</v>
      </c>
      <c r="C476" s="5" t="s">
        <v>10</v>
      </c>
      <c r="D476" s="5" t="s">
        <v>43</v>
      </c>
      <c r="E476" s="5" t="s">
        <v>83</v>
      </c>
      <c r="F476" s="5" t="s">
        <v>73</v>
      </c>
      <c r="G476" s="6">
        <v>3</v>
      </c>
      <c r="H476" s="5" t="s">
        <v>14</v>
      </c>
      <c r="I476" s="3"/>
    </row>
    <row r="477" spans="1:9" ht="15.75" thickBot="1" x14ac:dyDescent="0.3">
      <c r="A477" s="7" t="s">
        <v>182</v>
      </c>
      <c r="B477" s="8" t="s">
        <v>34</v>
      </c>
      <c r="C477" s="8" t="s">
        <v>70</v>
      </c>
      <c r="D477" s="8" t="s">
        <v>43</v>
      </c>
      <c r="E477" s="8" t="s">
        <v>83</v>
      </c>
      <c r="F477" s="8" t="s">
        <v>33</v>
      </c>
      <c r="G477" s="9">
        <v>13</v>
      </c>
      <c r="H477" s="8" t="s">
        <v>50</v>
      </c>
      <c r="I477" s="3"/>
    </row>
    <row r="478" spans="1:9" ht="15.75" thickBot="1" x14ac:dyDescent="0.3">
      <c r="A478" s="4" t="s">
        <v>98</v>
      </c>
      <c r="B478" s="5" t="s">
        <v>26</v>
      </c>
      <c r="C478" s="5" t="s">
        <v>31</v>
      </c>
      <c r="D478" s="5" t="s">
        <v>43</v>
      </c>
      <c r="E478" s="5" t="s">
        <v>12</v>
      </c>
      <c r="F478" s="5" t="s">
        <v>103</v>
      </c>
      <c r="G478" s="6">
        <v>9</v>
      </c>
      <c r="H478" s="5" t="s">
        <v>14</v>
      </c>
      <c r="I478" s="3"/>
    </row>
    <row r="479" spans="1:9" ht="15.75" thickBot="1" x14ac:dyDescent="0.3">
      <c r="A479" s="7" t="s">
        <v>163</v>
      </c>
      <c r="B479" s="8" t="s">
        <v>16</v>
      </c>
      <c r="C479" s="8" t="s">
        <v>62</v>
      </c>
      <c r="D479" s="8" t="s">
        <v>17</v>
      </c>
      <c r="E479" s="8" t="s">
        <v>78</v>
      </c>
      <c r="F479" s="8" t="s">
        <v>53</v>
      </c>
      <c r="G479" s="9">
        <v>10</v>
      </c>
      <c r="H479" s="8" t="s">
        <v>14</v>
      </c>
      <c r="I479" s="3"/>
    </row>
    <row r="480" spans="1:9" ht="15.75" thickBot="1" x14ac:dyDescent="0.3">
      <c r="A480" s="11">
        <v>46266</v>
      </c>
      <c r="B480" s="5" t="s">
        <v>118</v>
      </c>
      <c r="C480" s="5" t="s">
        <v>70</v>
      </c>
      <c r="D480" s="5" t="s">
        <v>23</v>
      </c>
      <c r="E480" s="5" t="s">
        <v>12</v>
      </c>
      <c r="F480" s="5" t="s">
        <v>41</v>
      </c>
      <c r="G480" s="6">
        <v>6</v>
      </c>
      <c r="H480" s="5" t="s">
        <v>42</v>
      </c>
      <c r="I480" s="3"/>
    </row>
    <row r="481" spans="1:9" ht="15.75" thickBot="1" x14ac:dyDescent="0.3">
      <c r="A481" s="10">
        <v>46333</v>
      </c>
      <c r="B481" s="8" t="s">
        <v>21</v>
      </c>
      <c r="C481" s="8" t="s">
        <v>62</v>
      </c>
      <c r="D481" s="8" t="s">
        <v>17</v>
      </c>
      <c r="E481" s="8" t="s">
        <v>52</v>
      </c>
      <c r="F481" s="8" t="s">
        <v>41</v>
      </c>
      <c r="G481" s="9">
        <v>15</v>
      </c>
      <c r="H481" s="8" t="s">
        <v>19</v>
      </c>
      <c r="I481" s="3"/>
    </row>
    <row r="482" spans="1:9" ht="15.75" thickBot="1" x14ac:dyDescent="0.3">
      <c r="A482" s="4" t="s">
        <v>87</v>
      </c>
      <c r="B482" s="5" t="s">
        <v>118</v>
      </c>
      <c r="C482" s="5" t="s">
        <v>22</v>
      </c>
      <c r="D482" s="5" t="s">
        <v>43</v>
      </c>
      <c r="E482" s="5" t="s">
        <v>24</v>
      </c>
      <c r="F482" s="5" t="s">
        <v>28</v>
      </c>
      <c r="G482" s="6">
        <v>11</v>
      </c>
      <c r="H482" s="5" t="s">
        <v>19</v>
      </c>
      <c r="I482" s="3"/>
    </row>
    <row r="483" spans="1:9" ht="15.75" thickBot="1" x14ac:dyDescent="0.3">
      <c r="A483" s="7" t="s">
        <v>155</v>
      </c>
      <c r="B483" s="8" t="s">
        <v>85</v>
      </c>
      <c r="C483" s="8" t="s">
        <v>31</v>
      </c>
      <c r="D483" s="8" t="s">
        <v>43</v>
      </c>
      <c r="E483" s="8" t="s">
        <v>59</v>
      </c>
      <c r="F483" s="8" t="s">
        <v>86</v>
      </c>
      <c r="G483" s="9">
        <v>9</v>
      </c>
      <c r="H483" s="8" t="s">
        <v>42</v>
      </c>
      <c r="I483" s="3"/>
    </row>
    <row r="484" spans="1:9" ht="15.75" thickBot="1" x14ac:dyDescent="0.3">
      <c r="A484" s="4" t="s">
        <v>141</v>
      </c>
      <c r="B484" s="5" t="s">
        <v>61</v>
      </c>
      <c r="C484" s="5" t="s">
        <v>10</v>
      </c>
      <c r="D484" s="5" t="s">
        <v>43</v>
      </c>
      <c r="E484" s="5" t="s">
        <v>59</v>
      </c>
      <c r="F484" s="5" t="s">
        <v>64</v>
      </c>
      <c r="G484" s="6">
        <v>8</v>
      </c>
      <c r="H484" s="5" t="s">
        <v>50</v>
      </c>
      <c r="I484" s="3"/>
    </row>
    <row r="485" spans="1:9" ht="15.75" thickBot="1" x14ac:dyDescent="0.3">
      <c r="A485" s="10">
        <v>46086</v>
      </c>
      <c r="B485" s="8" t="s">
        <v>26</v>
      </c>
      <c r="C485" s="8" t="s">
        <v>22</v>
      </c>
      <c r="D485" s="8" t="s">
        <v>11</v>
      </c>
      <c r="E485" s="8" t="s">
        <v>52</v>
      </c>
      <c r="F485" s="8" t="s">
        <v>25</v>
      </c>
      <c r="G485" s="9">
        <v>13</v>
      </c>
      <c r="H485" s="8" t="s">
        <v>50</v>
      </c>
      <c r="I485" s="3"/>
    </row>
    <row r="486" spans="1:9" ht="15.75" thickBot="1" x14ac:dyDescent="0.3">
      <c r="A486" s="11">
        <v>46363</v>
      </c>
      <c r="B486" s="5" t="s">
        <v>34</v>
      </c>
      <c r="C486" s="5" t="s">
        <v>70</v>
      </c>
      <c r="D486" s="5" t="s">
        <v>11</v>
      </c>
      <c r="E486" s="5" t="s">
        <v>59</v>
      </c>
      <c r="F486" s="5" t="s">
        <v>49</v>
      </c>
      <c r="G486" s="6">
        <v>6</v>
      </c>
      <c r="H486" s="5" t="s">
        <v>42</v>
      </c>
      <c r="I486" s="3"/>
    </row>
    <row r="487" spans="1:9" ht="15.75" thickBot="1" x14ac:dyDescent="0.3">
      <c r="A487" s="10">
        <v>46113</v>
      </c>
      <c r="B487" s="8" t="s">
        <v>48</v>
      </c>
      <c r="C487" s="8" t="s">
        <v>62</v>
      </c>
      <c r="D487" s="8" t="s">
        <v>43</v>
      </c>
      <c r="E487" s="8" t="s">
        <v>115</v>
      </c>
      <c r="F487" s="8" t="s">
        <v>53</v>
      </c>
      <c r="G487" s="9">
        <v>3</v>
      </c>
      <c r="H487" s="8" t="s">
        <v>50</v>
      </c>
      <c r="I487" s="3"/>
    </row>
    <row r="488" spans="1:9" ht="15.75" thickBot="1" x14ac:dyDescent="0.3">
      <c r="A488" s="4" t="s">
        <v>182</v>
      </c>
      <c r="B488" s="5" t="s">
        <v>69</v>
      </c>
      <c r="C488" s="5" t="s">
        <v>10</v>
      </c>
      <c r="D488" s="5" t="s">
        <v>43</v>
      </c>
      <c r="E488" s="5" t="s">
        <v>52</v>
      </c>
      <c r="F488" s="5" t="s">
        <v>56</v>
      </c>
      <c r="G488" s="6">
        <v>8</v>
      </c>
      <c r="H488" s="5" t="s">
        <v>14</v>
      </c>
      <c r="I488" s="3"/>
    </row>
    <row r="489" spans="1:9" ht="15.75" thickBot="1" x14ac:dyDescent="0.3">
      <c r="A489" s="10">
        <v>46358</v>
      </c>
      <c r="B489" s="8" t="s">
        <v>74</v>
      </c>
      <c r="C489" s="8" t="s">
        <v>46</v>
      </c>
      <c r="D489" s="8" t="s">
        <v>17</v>
      </c>
      <c r="E489" s="8" t="s">
        <v>83</v>
      </c>
      <c r="F489" s="8" t="s">
        <v>86</v>
      </c>
      <c r="G489" s="9">
        <v>15</v>
      </c>
      <c r="H489" s="8" t="s">
        <v>50</v>
      </c>
      <c r="I489" s="3"/>
    </row>
    <row r="490" spans="1:9" ht="15.75" thickBot="1" x14ac:dyDescent="0.3">
      <c r="A490" s="4" t="s">
        <v>146</v>
      </c>
      <c r="B490" s="5" t="s">
        <v>9</v>
      </c>
      <c r="C490" s="5" t="s">
        <v>22</v>
      </c>
      <c r="D490" s="5" t="s">
        <v>11</v>
      </c>
      <c r="E490" s="5" t="s">
        <v>52</v>
      </c>
      <c r="F490" s="5" t="s">
        <v>33</v>
      </c>
      <c r="G490" s="6">
        <v>2</v>
      </c>
      <c r="H490" s="5" t="s">
        <v>14</v>
      </c>
      <c r="I490" s="3"/>
    </row>
    <row r="491" spans="1:9" ht="15.75" thickBot="1" x14ac:dyDescent="0.3">
      <c r="A491" s="7" t="s">
        <v>131</v>
      </c>
      <c r="B491" s="8" t="s">
        <v>88</v>
      </c>
      <c r="C491" s="8" t="s">
        <v>10</v>
      </c>
      <c r="D491" s="8" t="s">
        <v>11</v>
      </c>
      <c r="E491" s="8" t="s">
        <v>24</v>
      </c>
      <c r="F491" s="8" t="s">
        <v>56</v>
      </c>
      <c r="G491" s="9">
        <v>10</v>
      </c>
      <c r="H491" s="8" t="s">
        <v>50</v>
      </c>
      <c r="I491" s="3"/>
    </row>
    <row r="492" spans="1:9" ht="15.75" thickBot="1" x14ac:dyDescent="0.3">
      <c r="A492" s="4" t="s">
        <v>108</v>
      </c>
      <c r="B492" s="5" t="s">
        <v>97</v>
      </c>
      <c r="C492" s="5" t="s">
        <v>10</v>
      </c>
      <c r="D492" s="5" t="s">
        <v>11</v>
      </c>
      <c r="E492" s="5" t="s">
        <v>37</v>
      </c>
      <c r="F492" s="5" t="s">
        <v>53</v>
      </c>
      <c r="G492" s="6">
        <v>5</v>
      </c>
      <c r="H492" s="5" t="s">
        <v>14</v>
      </c>
      <c r="I492" s="3"/>
    </row>
    <row r="493" spans="1:9" ht="15.75" thickBot="1" x14ac:dyDescent="0.3">
      <c r="A493" s="7" t="s">
        <v>197</v>
      </c>
      <c r="B493" s="8" t="s">
        <v>69</v>
      </c>
      <c r="C493" s="8" t="s">
        <v>10</v>
      </c>
      <c r="D493" s="8" t="s">
        <v>43</v>
      </c>
      <c r="E493" s="8" t="s">
        <v>63</v>
      </c>
      <c r="F493" s="8" t="s">
        <v>28</v>
      </c>
      <c r="G493" s="9">
        <v>15</v>
      </c>
      <c r="H493" s="8" t="s">
        <v>42</v>
      </c>
      <c r="I493" s="3"/>
    </row>
    <row r="494" spans="1:9" ht="15.75" thickBot="1" x14ac:dyDescent="0.3">
      <c r="A494" s="11">
        <v>46328</v>
      </c>
      <c r="B494" s="5" t="s">
        <v>34</v>
      </c>
      <c r="C494" s="5" t="s">
        <v>46</v>
      </c>
      <c r="D494" s="5" t="s">
        <v>17</v>
      </c>
      <c r="E494" s="5" t="s">
        <v>78</v>
      </c>
      <c r="F494" s="5" t="s">
        <v>73</v>
      </c>
      <c r="G494" s="6">
        <v>15</v>
      </c>
      <c r="H494" s="5" t="s">
        <v>42</v>
      </c>
      <c r="I494" s="3"/>
    </row>
    <row r="495" spans="1:9" ht="15.75" thickBot="1" x14ac:dyDescent="0.3">
      <c r="A495" s="10">
        <v>46361</v>
      </c>
      <c r="B495" s="8" t="s">
        <v>30</v>
      </c>
      <c r="C495" s="8" t="s">
        <v>90</v>
      </c>
      <c r="D495" s="8" t="s">
        <v>11</v>
      </c>
      <c r="E495" s="8" t="s">
        <v>52</v>
      </c>
      <c r="F495" s="8" t="s">
        <v>25</v>
      </c>
      <c r="G495" s="9">
        <v>10</v>
      </c>
      <c r="H495" s="8" t="s">
        <v>19</v>
      </c>
      <c r="I495" s="3"/>
    </row>
    <row r="496" spans="1:9" ht="15.75" thickBot="1" x14ac:dyDescent="0.3">
      <c r="A496" s="4" t="s">
        <v>198</v>
      </c>
      <c r="B496" s="5" t="s">
        <v>34</v>
      </c>
      <c r="C496" s="5" t="s">
        <v>90</v>
      </c>
      <c r="D496" s="5" t="s">
        <v>11</v>
      </c>
      <c r="E496" s="5" t="s">
        <v>32</v>
      </c>
      <c r="F496" s="5" t="s">
        <v>28</v>
      </c>
      <c r="G496" s="6">
        <v>5</v>
      </c>
      <c r="H496" s="5" t="s">
        <v>14</v>
      </c>
      <c r="I496" s="3"/>
    </row>
    <row r="497" spans="1:9" ht="15.75" thickBot="1" x14ac:dyDescent="0.3">
      <c r="A497" s="7" t="s">
        <v>117</v>
      </c>
      <c r="B497" s="8" t="s">
        <v>21</v>
      </c>
      <c r="C497" s="8" t="s">
        <v>66</v>
      </c>
      <c r="D497" s="8" t="s">
        <v>43</v>
      </c>
      <c r="E497" s="8" t="s">
        <v>115</v>
      </c>
      <c r="F497" s="8" t="s">
        <v>53</v>
      </c>
      <c r="G497" s="9">
        <v>5</v>
      </c>
      <c r="H497" s="8" t="s">
        <v>42</v>
      </c>
      <c r="I497" s="3"/>
    </row>
    <row r="498" spans="1:9" ht="15.75" thickBot="1" x14ac:dyDescent="0.3">
      <c r="A498" s="4" t="s">
        <v>148</v>
      </c>
      <c r="B498" s="5" t="s">
        <v>16</v>
      </c>
      <c r="C498" s="5" t="s">
        <v>94</v>
      </c>
      <c r="D498" s="5" t="s">
        <v>17</v>
      </c>
      <c r="E498" s="5" t="s">
        <v>63</v>
      </c>
      <c r="F498" s="5" t="s">
        <v>13</v>
      </c>
      <c r="G498" s="6">
        <v>8</v>
      </c>
      <c r="H498" s="5" t="s">
        <v>14</v>
      </c>
      <c r="I498" s="3"/>
    </row>
    <row r="499" spans="1:9" ht="15.75" thickBot="1" x14ac:dyDescent="0.3">
      <c r="A499" s="10">
        <v>46059</v>
      </c>
      <c r="B499" s="8" t="s">
        <v>57</v>
      </c>
      <c r="C499" s="8" t="s">
        <v>22</v>
      </c>
      <c r="D499" s="8" t="s">
        <v>23</v>
      </c>
      <c r="E499" s="8" t="s">
        <v>78</v>
      </c>
      <c r="F499" s="8" t="s">
        <v>103</v>
      </c>
      <c r="G499" s="9">
        <v>3</v>
      </c>
      <c r="H499" s="8" t="s">
        <v>14</v>
      </c>
      <c r="I499" s="3"/>
    </row>
    <row r="500" spans="1:9" ht="15.75" thickBot="1" x14ac:dyDescent="0.3">
      <c r="A500" s="11">
        <v>46332</v>
      </c>
      <c r="B500" s="5" t="s">
        <v>40</v>
      </c>
      <c r="C500" s="5" t="s">
        <v>70</v>
      </c>
      <c r="D500" s="5" t="s">
        <v>23</v>
      </c>
      <c r="E500" s="5" t="s">
        <v>32</v>
      </c>
      <c r="F500" s="5" t="s">
        <v>25</v>
      </c>
      <c r="G500" s="6">
        <v>5</v>
      </c>
      <c r="H500" s="5" t="s">
        <v>50</v>
      </c>
      <c r="I500" s="3"/>
    </row>
    <row r="501" spans="1:9" ht="15.75" thickBot="1" x14ac:dyDescent="0.3">
      <c r="A501" s="7" t="s">
        <v>146</v>
      </c>
      <c r="B501" s="8" t="s">
        <v>21</v>
      </c>
      <c r="C501" s="8" t="s">
        <v>31</v>
      </c>
      <c r="D501" s="8" t="s">
        <v>11</v>
      </c>
      <c r="E501" s="8" t="s">
        <v>32</v>
      </c>
      <c r="F501" s="8" t="s">
        <v>56</v>
      </c>
      <c r="G501" s="9">
        <v>4</v>
      </c>
      <c r="H501" s="8" t="s">
        <v>14</v>
      </c>
      <c r="I501" s="3"/>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02"/>
  <sheetViews>
    <sheetView showGridLines="0" workbookViewId="0">
      <selection activeCell="L2" sqref="L2"/>
    </sheetView>
  </sheetViews>
  <sheetFormatPr defaultRowHeight="15" x14ac:dyDescent="0.25"/>
  <cols>
    <col min="1" max="1" width="16.85546875" style="25" bestFit="1" customWidth="1"/>
    <col min="2" max="4" width="16.85546875" style="25" customWidth="1"/>
    <col min="5" max="5" width="18.7109375" customWidth="1"/>
    <col min="6" max="6" width="21.28515625" bestFit="1" customWidth="1"/>
    <col min="7" max="7" width="10.28515625" bestFit="1" customWidth="1"/>
    <col min="8" max="8" width="18.5703125" bestFit="1" customWidth="1"/>
    <col min="9" max="9" width="11.85546875" customWidth="1"/>
    <col min="10" max="10" width="11" customWidth="1"/>
    <col min="11" max="11" width="16.28515625" customWidth="1"/>
    <col min="12" max="12" width="14.140625" customWidth="1"/>
    <col min="13" max="13" width="11.85546875" bestFit="1" customWidth="1"/>
    <col min="14" max="14" width="13.42578125" bestFit="1" customWidth="1"/>
    <col min="17" max="17" width="11.85546875" bestFit="1" customWidth="1"/>
  </cols>
  <sheetData>
    <row r="1" spans="1:17" ht="30.75" thickBot="1" x14ac:dyDescent="0.3">
      <c r="A1" s="26" t="s">
        <v>0</v>
      </c>
      <c r="B1" s="26" t="s">
        <v>235</v>
      </c>
      <c r="C1" s="26" t="s">
        <v>237</v>
      </c>
      <c r="D1" s="26" t="s">
        <v>236</v>
      </c>
      <c r="E1" s="2" t="s">
        <v>199</v>
      </c>
      <c r="F1" s="2" t="s">
        <v>200</v>
      </c>
      <c r="G1" s="2" t="s">
        <v>3</v>
      </c>
      <c r="H1" s="2" t="s">
        <v>201</v>
      </c>
      <c r="I1" s="2" t="s">
        <v>5</v>
      </c>
      <c r="J1" s="2" t="s">
        <v>6</v>
      </c>
      <c r="K1" s="2" t="s">
        <v>7</v>
      </c>
      <c r="L1" s="15" t="s">
        <v>228</v>
      </c>
      <c r="M1" s="15" t="s">
        <v>229</v>
      </c>
      <c r="N1" s="15" t="s">
        <v>251</v>
      </c>
      <c r="O1" s="15" t="s">
        <v>203</v>
      </c>
      <c r="P1" s="15" t="s">
        <v>231</v>
      </c>
      <c r="Q1" s="19" t="s">
        <v>232</v>
      </c>
    </row>
    <row r="2" spans="1:17" ht="15.75" thickBot="1" x14ac:dyDescent="0.3">
      <c r="A2" s="28" t="s">
        <v>8</v>
      </c>
      <c r="B2" s="29" t="str">
        <f t="shared" ref="B2:B65" si="0">RIGHT(TRIM(A2), 4)</f>
        <v>2026</v>
      </c>
      <c r="C2" s="29" t="str">
        <f t="shared" ref="C2:C65" si="1">MID(TRIM(A2), 4, 2)</f>
        <v>19</v>
      </c>
      <c r="D2" s="29" t="str">
        <f t="shared" ref="D2:D65" si="2">TEXT(DATE(RIGHT(TRIM(A2), 4), LEFT(TRIM(A2), 2), MID(TRIM(A2), 4, 2)), "mmm")</f>
        <v>May</v>
      </c>
      <c r="E2" s="5" t="s">
        <v>74</v>
      </c>
      <c r="F2" s="5" t="s">
        <v>10</v>
      </c>
      <c r="G2" s="5" t="s">
        <v>11</v>
      </c>
      <c r="H2" s="5" t="s">
        <v>12</v>
      </c>
      <c r="I2" s="5" t="s">
        <v>13</v>
      </c>
      <c r="J2" s="6">
        <v>7</v>
      </c>
      <c r="K2" s="5" t="s">
        <v>14</v>
      </c>
      <c r="L2" t="s">
        <v>204</v>
      </c>
      <c r="M2" t="str">
        <f>VLOOKUP(E2,Price!$A$2:$C$9,3,)</f>
        <v>$47.00</v>
      </c>
      <c r="N2">
        <f>J2 * VALUE(SUBSTITUTE(L2,"$",""))</f>
        <v>623</v>
      </c>
      <c r="O2">
        <f>J2*VALUE(SUBSTITUTE(M2,"$",""))</f>
        <v>329</v>
      </c>
      <c r="P2">
        <f>N2-O2</f>
        <v>294</v>
      </c>
      <c r="Q2" s="20">
        <f>Table1[[#This Row],[Profit ]]/Table1[[#This Row],[Total Revenue]]</f>
        <v>0.47191011235955055</v>
      </c>
    </row>
    <row r="3" spans="1:17" ht="15.75" thickBot="1" x14ac:dyDescent="0.3">
      <c r="A3" s="10" t="s">
        <v>15</v>
      </c>
      <c r="B3" s="16" t="str">
        <f t="shared" si="0"/>
        <v>2026</v>
      </c>
      <c r="C3" s="16" t="str">
        <f t="shared" si="1"/>
        <v>26</v>
      </c>
      <c r="D3" s="16" t="str">
        <f t="shared" si="2"/>
        <v>Jun</v>
      </c>
      <c r="E3" s="5" t="s">
        <v>97</v>
      </c>
      <c r="F3" s="5" t="s">
        <v>10</v>
      </c>
      <c r="G3" s="8" t="s">
        <v>17</v>
      </c>
      <c r="H3" s="5" t="s">
        <v>12</v>
      </c>
      <c r="I3" s="8" t="s">
        <v>13</v>
      </c>
      <c r="J3" s="9">
        <v>1</v>
      </c>
      <c r="K3" s="8" t="s">
        <v>19</v>
      </c>
      <c r="L3" t="s">
        <v>206</v>
      </c>
      <c r="M3" t="str">
        <f>VLOOKUP(E3,Price!$A$2:$C$9,3,)</f>
        <v>$28.00</v>
      </c>
      <c r="N3">
        <f t="shared" ref="N3:N66" si="3">J3 * VALUE(SUBSTITUTE(L3,"$",""))</f>
        <v>54</v>
      </c>
      <c r="O3">
        <f t="shared" ref="O3:O66" si="4">J3*VALUE(SUBSTITUTE(M3,"$",""))</f>
        <v>28</v>
      </c>
      <c r="P3">
        <f t="shared" ref="P3:P66" si="5">N3-O3</f>
        <v>26</v>
      </c>
      <c r="Q3" s="20">
        <f>Table1[[#This Row],[Profit ]]/Table1[[#This Row],[Total Revenue]]</f>
        <v>0.48148148148148145</v>
      </c>
    </row>
    <row r="4" spans="1:17" ht="15.75" thickBot="1" x14ac:dyDescent="0.3">
      <c r="A4" s="11" t="s">
        <v>20</v>
      </c>
      <c r="B4" s="17" t="str">
        <f t="shared" si="0"/>
        <v>2026</v>
      </c>
      <c r="C4" s="17" t="str">
        <f t="shared" si="1"/>
        <v>30</v>
      </c>
      <c r="D4" s="17" t="str">
        <f t="shared" si="2"/>
        <v>May</v>
      </c>
      <c r="E4" s="5" t="s">
        <v>21</v>
      </c>
      <c r="F4" s="5" t="s">
        <v>10</v>
      </c>
      <c r="G4" s="5" t="s">
        <v>23</v>
      </c>
      <c r="H4" s="5" t="s">
        <v>52</v>
      </c>
      <c r="I4" s="5" t="s">
        <v>25</v>
      </c>
      <c r="J4" s="6">
        <v>7</v>
      </c>
      <c r="K4" s="5" t="s">
        <v>14</v>
      </c>
      <c r="L4" t="s">
        <v>208</v>
      </c>
      <c r="M4" t="str">
        <f>VLOOKUP(E4,Price!$A$2:$C$9,3,)</f>
        <v>$14.00</v>
      </c>
      <c r="N4">
        <f t="shared" si="3"/>
        <v>224</v>
      </c>
      <c r="O4">
        <f t="shared" si="4"/>
        <v>98</v>
      </c>
      <c r="P4">
        <f t="shared" si="5"/>
        <v>126</v>
      </c>
      <c r="Q4" s="20">
        <f>Table1[[#This Row],[Profit ]]/Table1[[#This Row],[Total Revenue]]</f>
        <v>0.5625</v>
      </c>
    </row>
    <row r="5" spans="1:17" ht="15.75" thickBot="1" x14ac:dyDescent="0.3">
      <c r="A5" s="10">
        <v>46333</v>
      </c>
      <c r="B5" s="16" t="str">
        <f t="shared" si="0"/>
        <v>6333</v>
      </c>
      <c r="C5" s="16" t="str">
        <f t="shared" si="1"/>
        <v>33</v>
      </c>
      <c r="D5" s="16" t="str">
        <f t="shared" si="2"/>
        <v>Nov</v>
      </c>
      <c r="E5" s="5" t="s">
        <v>80</v>
      </c>
      <c r="F5" s="5" t="s">
        <v>35</v>
      </c>
      <c r="G5" s="8" t="s">
        <v>17</v>
      </c>
      <c r="H5" s="5" t="s">
        <v>12</v>
      </c>
      <c r="I5" s="8" t="s">
        <v>28</v>
      </c>
      <c r="J5" s="9">
        <v>6</v>
      </c>
      <c r="K5" s="8" t="s">
        <v>14</v>
      </c>
      <c r="L5" t="s">
        <v>210</v>
      </c>
      <c r="M5" t="str">
        <f>VLOOKUP(E5,Price!$A$2:$C$9,3,)</f>
        <v>$39.00</v>
      </c>
      <c r="N5">
        <f t="shared" si="3"/>
        <v>456</v>
      </c>
      <c r="O5">
        <f t="shared" si="4"/>
        <v>234</v>
      </c>
      <c r="P5">
        <f t="shared" si="5"/>
        <v>222</v>
      </c>
      <c r="Q5" s="20">
        <f>Table1[[#This Row],[Profit ]]/Table1[[#This Row],[Total Revenue]]</f>
        <v>0.48684210526315791</v>
      </c>
    </row>
    <row r="6" spans="1:17" ht="15.75" thickBot="1" x14ac:dyDescent="0.3">
      <c r="A6" s="11" t="s">
        <v>29</v>
      </c>
      <c r="B6" s="17" t="str">
        <f t="shared" si="0"/>
        <v>2026</v>
      </c>
      <c r="C6" s="17" t="str">
        <f t="shared" si="1"/>
        <v>18</v>
      </c>
      <c r="D6" s="17" t="str">
        <f t="shared" si="2"/>
        <v>Apr</v>
      </c>
      <c r="E6" s="5" t="s">
        <v>80</v>
      </c>
      <c r="F6" s="5" t="s">
        <v>62</v>
      </c>
      <c r="G6" s="5" t="s">
        <v>11</v>
      </c>
      <c r="H6" s="5" t="s">
        <v>52</v>
      </c>
      <c r="I6" s="5" t="s">
        <v>33</v>
      </c>
      <c r="J6" s="6">
        <v>6</v>
      </c>
      <c r="K6" s="5" t="s">
        <v>14</v>
      </c>
      <c r="L6" t="s">
        <v>210</v>
      </c>
      <c r="M6" t="str">
        <f>VLOOKUP(E6,Price!$A$2:$C$9,3,)</f>
        <v>$39.00</v>
      </c>
      <c r="N6">
        <f t="shared" si="3"/>
        <v>456</v>
      </c>
      <c r="O6">
        <f t="shared" si="4"/>
        <v>234</v>
      </c>
      <c r="P6">
        <f t="shared" si="5"/>
        <v>222</v>
      </c>
      <c r="Q6" s="20">
        <f>Table1[[#This Row],[Profit ]]/Table1[[#This Row],[Total Revenue]]</f>
        <v>0.48684210526315791</v>
      </c>
    </row>
    <row r="7" spans="1:17" ht="15.75" thickBot="1" x14ac:dyDescent="0.3">
      <c r="A7" s="10">
        <v>46359</v>
      </c>
      <c r="B7" s="16" t="str">
        <f t="shared" si="0"/>
        <v>6359</v>
      </c>
      <c r="C7" s="16" t="str">
        <f t="shared" si="1"/>
        <v>59</v>
      </c>
      <c r="D7" s="16" t="str">
        <f t="shared" si="2"/>
        <v>Nov</v>
      </c>
      <c r="E7" s="5" t="s">
        <v>34</v>
      </c>
      <c r="F7" s="5" t="s">
        <v>35</v>
      </c>
      <c r="G7" s="8" t="s">
        <v>36</v>
      </c>
      <c r="H7" s="5" t="s">
        <v>12</v>
      </c>
      <c r="I7" s="8" t="s">
        <v>38</v>
      </c>
      <c r="J7" s="9">
        <v>6</v>
      </c>
      <c r="K7" s="8" t="s">
        <v>19</v>
      </c>
      <c r="L7" t="s">
        <v>212</v>
      </c>
      <c r="M7" t="str">
        <f>VLOOKUP(E7,Price!$A$2:$C$9,3,)</f>
        <v>$72.00</v>
      </c>
      <c r="N7">
        <f t="shared" si="3"/>
        <v>768</v>
      </c>
      <c r="O7">
        <f t="shared" si="4"/>
        <v>432</v>
      </c>
      <c r="P7">
        <f t="shared" si="5"/>
        <v>336</v>
      </c>
      <c r="Q7" s="20">
        <f>Table1[[#This Row],[Profit ]]/Table1[[#This Row],[Total Revenue]]</f>
        <v>0.4375</v>
      </c>
    </row>
    <row r="8" spans="1:17" ht="15.75" thickBot="1" x14ac:dyDescent="0.3">
      <c r="A8" s="11" t="s">
        <v>39</v>
      </c>
      <c r="B8" s="17" t="str">
        <f t="shared" si="0"/>
        <v>2026</v>
      </c>
      <c r="C8" s="17" t="str">
        <f t="shared" si="1"/>
        <v>18</v>
      </c>
      <c r="D8" s="17" t="str">
        <f t="shared" si="2"/>
        <v>Jun</v>
      </c>
      <c r="E8" s="5" t="s">
        <v>34</v>
      </c>
      <c r="F8" s="5" t="s">
        <v>10</v>
      </c>
      <c r="G8" s="5" t="s">
        <v>23</v>
      </c>
      <c r="H8" s="5" t="s">
        <v>52</v>
      </c>
      <c r="I8" s="5" t="s">
        <v>41</v>
      </c>
      <c r="J8" s="6">
        <v>13</v>
      </c>
      <c r="K8" s="5" t="s">
        <v>42</v>
      </c>
      <c r="L8" t="s">
        <v>212</v>
      </c>
      <c r="M8" t="str">
        <f>VLOOKUP(E8,Price!$A$2:$C$9,3,)</f>
        <v>$72.00</v>
      </c>
      <c r="N8">
        <f t="shared" si="3"/>
        <v>1664</v>
      </c>
      <c r="O8">
        <f t="shared" si="4"/>
        <v>936</v>
      </c>
      <c r="P8">
        <f t="shared" si="5"/>
        <v>728</v>
      </c>
      <c r="Q8" s="20">
        <f>Table1[[#This Row],[Profit ]]/Table1[[#This Row],[Total Revenue]]</f>
        <v>0.4375</v>
      </c>
    </row>
    <row r="9" spans="1:17" ht="15.75" thickBot="1" x14ac:dyDescent="0.3">
      <c r="A9" s="10">
        <v>46272</v>
      </c>
      <c r="B9" s="16" t="str">
        <f t="shared" si="0"/>
        <v>6272</v>
      </c>
      <c r="C9" s="16" t="str">
        <f t="shared" si="1"/>
        <v>72</v>
      </c>
      <c r="D9" s="16" t="str">
        <f t="shared" si="2"/>
        <v>Dec</v>
      </c>
      <c r="E9" s="5" t="s">
        <v>74</v>
      </c>
      <c r="F9" s="5" t="s">
        <v>10</v>
      </c>
      <c r="G9" s="8" t="s">
        <v>43</v>
      </c>
      <c r="H9" s="5" t="s">
        <v>138</v>
      </c>
      <c r="I9" s="8" t="s">
        <v>41</v>
      </c>
      <c r="J9" s="9">
        <v>12</v>
      </c>
      <c r="K9" s="8" t="s">
        <v>42</v>
      </c>
      <c r="L9" t="s">
        <v>204</v>
      </c>
      <c r="M9" t="str">
        <f>VLOOKUP(E9,Price!$A$2:$C$9,3,)</f>
        <v>$47.00</v>
      </c>
      <c r="N9">
        <f t="shared" si="3"/>
        <v>1068</v>
      </c>
      <c r="O9">
        <f t="shared" si="4"/>
        <v>564</v>
      </c>
      <c r="P9">
        <f t="shared" si="5"/>
        <v>504</v>
      </c>
      <c r="Q9" s="20">
        <f>Table1[[#This Row],[Profit ]]/Table1[[#This Row],[Total Revenue]]</f>
        <v>0.47191011235955055</v>
      </c>
    </row>
    <row r="10" spans="1:17" ht="15.75" thickBot="1" x14ac:dyDescent="0.3">
      <c r="A10" s="11" t="s">
        <v>45</v>
      </c>
      <c r="B10" s="17" t="str">
        <f t="shared" si="0"/>
        <v>2026</v>
      </c>
      <c r="C10" s="17" t="str">
        <f t="shared" si="1"/>
        <v>16</v>
      </c>
      <c r="D10" s="17" t="str">
        <f t="shared" si="2"/>
        <v>Jan</v>
      </c>
      <c r="E10" s="5" t="s">
        <v>21</v>
      </c>
      <c r="F10" s="5" t="s">
        <v>10</v>
      </c>
      <c r="G10" s="5" t="s">
        <v>23</v>
      </c>
      <c r="H10" s="5" t="s">
        <v>52</v>
      </c>
      <c r="I10" s="5" t="s">
        <v>47</v>
      </c>
      <c r="J10" s="6">
        <v>10</v>
      </c>
      <c r="K10" s="5" t="s">
        <v>42</v>
      </c>
      <c r="L10" t="s">
        <v>208</v>
      </c>
      <c r="M10" t="str">
        <f>VLOOKUP(E10,Price!$A$2:$C$9,3,)</f>
        <v>$14.00</v>
      </c>
      <c r="N10">
        <f t="shared" si="3"/>
        <v>320</v>
      </c>
      <c r="O10">
        <f t="shared" si="4"/>
        <v>140</v>
      </c>
      <c r="P10">
        <f t="shared" si="5"/>
        <v>180</v>
      </c>
      <c r="Q10" s="20">
        <f>Table1[[#This Row],[Profit ]]/Table1[[#This Row],[Total Revenue]]</f>
        <v>0.5625</v>
      </c>
    </row>
    <row r="11" spans="1:17" ht="15.75" thickBot="1" x14ac:dyDescent="0.3">
      <c r="A11" s="10">
        <v>46271</v>
      </c>
      <c r="B11" s="16" t="str">
        <f t="shared" si="0"/>
        <v>6271</v>
      </c>
      <c r="C11" s="16" t="str">
        <f t="shared" si="1"/>
        <v>71</v>
      </c>
      <c r="D11" s="16" t="str">
        <f t="shared" si="2"/>
        <v>Dec</v>
      </c>
      <c r="E11" s="5" t="s">
        <v>72</v>
      </c>
      <c r="F11" s="5" t="s">
        <v>10</v>
      </c>
      <c r="G11" s="8" t="s">
        <v>17</v>
      </c>
      <c r="H11" s="5" t="s">
        <v>52</v>
      </c>
      <c r="I11" s="8" t="s">
        <v>49</v>
      </c>
      <c r="J11" s="9">
        <v>15</v>
      </c>
      <c r="K11" s="8" t="s">
        <v>50</v>
      </c>
      <c r="L11" t="s">
        <v>214</v>
      </c>
      <c r="M11" t="str">
        <f>VLOOKUP(E11,Price!$A$2:$C$9,3,)</f>
        <v>$58.00</v>
      </c>
      <c r="N11">
        <f t="shared" si="3"/>
        <v>1575</v>
      </c>
      <c r="O11">
        <f t="shared" si="4"/>
        <v>870</v>
      </c>
      <c r="P11">
        <f t="shared" si="5"/>
        <v>705</v>
      </c>
      <c r="Q11" s="20">
        <f>Table1[[#This Row],[Profit ]]/Table1[[#This Row],[Total Revenue]]</f>
        <v>0.44761904761904764</v>
      </c>
    </row>
    <row r="12" spans="1:17" ht="15.75" thickBot="1" x14ac:dyDescent="0.3">
      <c r="A12" s="11" t="s">
        <v>51</v>
      </c>
      <c r="B12" s="17" t="str">
        <f t="shared" si="0"/>
        <v>2026</v>
      </c>
      <c r="C12" s="17" t="str">
        <f t="shared" si="1"/>
        <v>20</v>
      </c>
      <c r="D12" s="17" t="str">
        <f t="shared" si="2"/>
        <v>Apr</v>
      </c>
      <c r="E12" s="5" t="s">
        <v>80</v>
      </c>
      <c r="F12" s="5" t="s">
        <v>10</v>
      </c>
      <c r="G12" s="5" t="s">
        <v>43</v>
      </c>
      <c r="H12" s="5" t="s">
        <v>52</v>
      </c>
      <c r="I12" s="5" t="s">
        <v>53</v>
      </c>
      <c r="J12" s="6">
        <v>8</v>
      </c>
      <c r="K12" s="5" t="s">
        <v>14</v>
      </c>
      <c r="L12" t="s">
        <v>210</v>
      </c>
      <c r="M12" t="str">
        <f>VLOOKUP(E12,Price!$A$2:$C$9,3,)</f>
        <v>$39.00</v>
      </c>
      <c r="N12">
        <f t="shared" si="3"/>
        <v>608</v>
      </c>
      <c r="O12">
        <f t="shared" si="4"/>
        <v>312</v>
      </c>
      <c r="P12">
        <f t="shared" si="5"/>
        <v>296</v>
      </c>
      <c r="Q12" s="20">
        <f>Table1[[#This Row],[Profit ]]/Table1[[#This Row],[Total Revenue]]</f>
        <v>0.48684210526315791</v>
      </c>
    </row>
    <row r="13" spans="1:17" ht="15.75" thickBot="1" x14ac:dyDescent="0.3">
      <c r="A13" s="10" t="s">
        <v>54</v>
      </c>
      <c r="B13" s="16" t="str">
        <f t="shared" si="0"/>
        <v>2026</v>
      </c>
      <c r="C13" s="16" t="str">
        <f t="shared" si="1"/>
        <v>16</v>
      </c>
      <c r="D13" s="16" t="str">
        <f t="shared" si="2"/>
        <v>Mar</v>
      </c>
      <c r="E13" s="5" t="s">
        <v>97</v>
      </c>
      <c r="F13" s="5" t="s">
        <v>62</v>
      </c>
      <c r="G13" s="8" t="s">
        <v>23</v>
      </c>
      <c r="H13" s="5" t="s">
        <v>52</v>
      </c>
      <c r="I13" s="8" t="s">
        <v>47</v>
      </c>
      <c r="J13" s="9">
        <v>9</v>
      </c>
      <c r="K13" s="8" t="s">
        <v>42</v>
      </c>
      <c r="L13" t="s">
        <v>206</v>
      </c>
      <c r="M13" t="str">
        <f>VLOOKUP(E13,Price!$A$2:$C$9,3,)</f>
        <v>$28.00</v>
      </c>
      <c r="N13">
        <f t="shared" si="3"/>
        <v>486</v>
      </c>
      <c r="O13">
        <f t="shared" si="4"/>
        <v>252</v>
      </c>
      <c r="P13">
        <f t="shared" si="5"/>
        <v>234</v>
      </c>
      <c r="Q13" s="20">
        <f>Table1[[#This Row],[Profit ]]/Table1[[#This Row],[Total Revenue]]</f>
        <v>0.48148148148148145</v>
      </c>
    </row>
    <row r="14" spans="1:17" ht="15.75" thickBot="1" x14ac:dyDescent="0.3">
      <c r="A14" s="11">
        <v>46117</v>
      </c>
      <c r="B14" s="17" t="str">
        <f t="shared" si="0"/>
        <v>6117</v>
      </c>
      <c r="C14" s="17" t="str">
        <f t="shared" si="1"/>
        <v>17</v>
      </c>
      <c r="D14" s="17" t="str">
        <f t="shared" si="2"/>
        <v>Oct</v>
      </c>
      <c r="E14" s="5" t="s">
        <v>140</v>
      </c>
      <c r="F14" s="5" t="s">
        <v>35</v>
      </c>
      <c r="G14" s="5" t="s">
        <v>23</v>
      </c>
      <c r="H14" s="5" t="s">
        <v>12</v>
      </c>
      <c r="I14" s="5" t="s">
        <v>56</v>
      </c>
      <c r="J14" s="6">
        <v>14</v>
      </c>
      <c r="K14" s="5" t="s">
        <v>14</v>
      </c>
      <c r="L14" t="s">
        <v>216</v>
      </c>
      <c r="M14" t="str">
        <f>VLOOKUP(E14,Price!$A$2:$C$9,3,)</f>
        <v>$64.00</v>
      </c>
      <c r="N14">
        <f t="shared" si="3"/>
        <v>1568</v>
      </c>
      <c r="O14">
        <f t="shared" si="4"/>
        <v>896</v>
      </c>
      <c r="P14">
        <f t="shared" si="5"/>
        <v>672</v>
      </c>
      <c r="Q14" s="20">
        <f>Table1[[#This Row],[Profit ]]/Table1[[#This Row],[Total Revenue]]</f>
        <v>0.42857142857142855</v>
      </c>
    </row>
    <row r="15" spans="1:17" ht="15.75" thickBot="1" x14ac:dyDescent="0.3">
      <c r="A15" s="10">
        <v>46266</v>
      </c>
      <c r="B15" s="16" t="str">
        <f t="shared" si="0"/>
        <v>6266</v>
      </c>
      <c r="C15" s="16" t="str">
        <f t="shared" si="1"/>
        <v>66</v>
      </c>
      <c r="D15" s="16" t="str">
        <f t="shared" si="2"/>
        <v>Dec</v>
      </c>
      <c r="E15" s="5" t="s">
        <v>72</v>
      </c>
      <c r="F15" s="5" t="s">
        <v>10</v>
      </c>
      <c r="G15" s="8" t="s">
        <v>23</v>
      </c>
      <c r="H15" s="5" t="s">
        <v>138</v>
      </c>
      <c r="I15" s="8" t="s">
        <v>25</v>
      </c>
      <c r="J15" s="9">
        <v>4</v>
      </c>
      <c r="K15" s="8" t="s">
        <v>19</v>
      </c>
      <c r="L15" t="s">
        <v>214</v>
      </c>
      <c r="M15" t="str">
        <f>VLOOKUP(E15,Price!$A$2:$C$9,3,)</f>
        <v>$58.00</v>
      </c>
      <c r="N15">
        <f t="shared" si="3"/>
        <v>420</v>
      </c>
      <c r="O15">
        <f t="shared" si="4"/>
        <v>232</v>
      </c>
      <c r="P15">
        <f t="shared" si="5"/>
        <v>188</v>
      </c>
      <c r="Q15" s="20">
        <f>Table1[[#This Row],[Profit ]]/Table1[[#This Row],[Total Revenue]]</f>
        <v>0.44761904761904764</v>
      </c>
    </row>
    <row r="16" spans="1:17" ht="15.75" thickBot="1" x14ac:dyDescent="0.3">
      <c r="A16" s="11" t="s">
        <v>15</v>
      </c>
      <c r="B16" s="17" t="str">
        <f t="shared" si="0"/>
        <v>2026</v>
      </c>
      <c r="C16" s="17" t="str">
        <f t="shared" si="1"/>
        <v>26</v>
      </c>
      <c r="D16" s="17" t="str">
        <f t="shared" si="2"/>
        <v>Jun</v>
      </c>
      <c r="E16" s="5" t="s">
        <v>118</v>
      </c>
      <c r="F16" s="5" t="s">
        <v>10</v>
      </c>
      <c r="G16" s="5" t="s">
        <v>11</v>
      </c>
      <c r="H16" s="5" t="s">
        <v>63</v>
      </c>
      <c r="I16" s="5" t="s">
        <v>13</v>
      </c>
      <c r="J16" s="6">
        <v>6</v>
      </c>
      <c r="K16" s="5" t="s">
        <v>19</v>
      </c>
      <c r="L16" t="s">
        <v>218</v>
      </c>
      <c r="M16" t="str">
        <f>VLOOKUP(E16,Price!$A$2:$C$9,3,)</f>
        <v>$67.00</v>
      </c>
      <c r="N16">
        <f t="shared" si="3"/>
        <v>714</v>
      </c>
      <c r="O16">
        <f t="shared" si="4"/>
        <v>402</v>
      </c>
      <c r="P16">
        <f t="shared" si="5"/>
        <v>312</v>
      </c>
      <c r="Q16" s="20">
        <f>Table1[[#This Row],[Profit ]]/Table1[[#This Row],[Total Revenue]]</f>
        <v>0.43697478991596639</v>
      </c>
    </row>
    <row r="17" spans="1:17" ht="15.75" thickBot="1" x14ac:dyDescent="0.3">
      <c r="A17" s="10" t="s">
        <v>60</v>
      </c>
      <c r="B17" s="16" t="str">
        <f t="shared" si="0"/>
        <v>2026</v>
      </c>
      <c r="C17" s="16" t="str">
        <f t="shared" si="1"/>
        <v>23</v>
      </c>
      <c r="D17" s="16" t="str">
        <f t="shared" si="2"/>
        <v>Jul</v>
      </c>
      <c r="E17" s="5" t="s">
        <v>21</v>
      </c>
      <c r="F17" s="5" t="s">
        <v>62</v>
      </c>
      <c r="G17" s="8" t="s">
        <v>23</v>
      </c>
      <c r="H17" s="5" t="s">
        <v>63</v>
      </c>
      <c r="I17" s="8" t="s">
        <v>64</v>
      </c>
      <c r="J17" s="9">
        <v>10</v>
      </c>
      <c r="K17" s="8" t="s">
        <v>42</v>
      </c>
      <c r="L17" t="s">
        <v>208</v>
      </c>
      <c r="M17" t="str">
        <f>VLOOKUP(E17,Price!$A$2:$C$9,3,)</f>
        <v>$14.00</v>
      </c>
      <c r="N17">
        <f t="shared" si="3"/>
        <v>320</v>
      </c>
      <c r="O17">
        <f t="shared" si="4"/>
        <v>140</v>
      </c>
      <c r="P17">
        <f t="shared" si="5"/>
        <v>180</v>
      </c>
      <c r="Q17" s="20">
        <f>Table1[[#This Row],[Profit ]]/Table1[[#This Row],[Total Revenue]]</f>
        <v>0.5625</v>
      </c>
    </row>
    <row r="18" spans="1:17" ht="15.75" thickBot="1" x14ac:dyDescent="0.3">
      <c r="A18" s="11" t="s">
        <v>65</v>
      </c>
      <c r="B18" s="17" t="str">
        <f t="shared" si="0"/>
        <v>2026</v>
      </c>
      <c r="C18" s="17" t="str">
        <f t="shared" si="1"/>
        <v>13</v>
      </c>
      <c r="D18" s="17" t="str">
        <f t="shared" si="2"/>
        <v>Apr</v>
      </c>
      <c r="E18" s="5" t="s">
        <v>80</v>
      </c>
      <c r="F18" s="5" t="s">
        <v>90</v>
      </c>
      <c r="G18" s="5" t="s">
        <v>11</v>
      </c>
      <c r="H18" s="5" t="s">
        <v>67</v>
      </c>
      <c r="I18" s="5" t="s">
        <v>25</v>
      </c>
      <c r="J18" s="6">
        <v>7</v>
      </c>
      <c r="K18" s="5" t="s">
        <v>14</v>
      </c>
      <c r="L18" t="s">
        <v>210</v>
      </c>
      <c r="M18" t="str">
        <f>VLOOKUP(E18,Price!$A$2:$C$9,3,)</f>
        <v>$39.00</v>
      </c>
      <c r="N18">
        <f t="shared" si="3"/>
        <v>532</v>
      </c>
      <c r="O18">
        <f t="shared" si="4"/>
        <v>273</v>
      </c>
      <c r="P18">
        <f t="shared" si="5"/>
        <v>259</v>
      </c>
      <c r="Q18" s="20">
        <f>Table1[[#This Row],[Profit ]]/Table1[[#This Row],[Total Revenue]]</f>
        <v>0.48684210526315791</v>
      </c>
    </row>
    <row r="19" spans="1:17" ht="15.75" thickBot="1" x14ac:dyDescent="0.3">
      <c r="A19" s="10" t="s">
        <v>68</v>
      </c>
      <c r="B19" s="16" t="str">
        <f t="shared" si="0"/>
        <v>2026</v>
      </c>
      <c r="C19" s="16" t="str">
        <f t="shared" si="1"/>
        <v>20</v>
      </c>
      <c r="D19" s="16" t="str">
        <f t="shared" si="2"/>
        <v>May</v>
      </c>
      <c r="E19" s="5" t="s">
        <v>21</v>
      </c>
      <c r="F19" s="5" t="s">
        <v>62</v>
      </c>
      <c r="G19" s="8" t="s">
        <v>36</v>
      </c>
      <c r="H19" s="5" t="s">
        <v>52</v>
      </c>
      <c r="I19" s="8" t="s">
        <v>33</v>
      </c>
      <c r="J19" s="9">
        <v>7</v>
      </c>
      <c r="K19" s="8" t="s">
        <v>50</v>
      </c>
      <c r="L19" t="s">
        <v>208</v>
      </c>
      <c r="M19" t="str">
        <f>VLOOKUP(E19,Price!$A$2:$C$9,3,)</f>
        <v>$14.00</v>
      </c>
      <c r="N19">
        <f t="shared" si="3"/>
        <v>224</v>
      </c>
      <c r="O19">
        <f t="shared" si="4"/>
        <v>98</v>
      </c>
      <c r="P19">
        <f t="shared" si="5"/>
        <v>126</v>
      </c>
      <c r="Q19" s="20">
        <f>Table1[[#This Row],[Profit ]]/Table1[[#This Row],[Total Revenue]]</f>
        <v>0.5625</v>
      </c>
    </row>
    <row r="20" spans="1:17" ht="15.75" thickBot="1" x14ac:dyDescent="0.3">
      <c r="A20" s="11" t="s">
        <v>71</v>
      </c>
      <c r="B20" s="17" t="str">
        <f t="shared" si="0"/>
        <v>2026</v>
      </c>
      <c r="C20" s="17" t="str">
        <f t="shared" si="1"/>
        <v>31</v>
      </c>
      <c r="D20" s="17" t="str">
        <f t="shared" si="2"/>
        <v>Mar</v>
      </c>
      <c r="E20" s="5" t="s">
        <v>72</v>
      </c>
      <c r="F20" s="5" t="s">
        <v>90</v>
      </c>
      <c r="G20" s="5" t="s">
        <v>17</v>
      </c>
      <c r="H20" s="5" t="s">
        <v>52</v>
      </c>
      <c r="I20" s="5" t="s">
        <v>33</v>
      </c>
      <c r="J20" s="6">
        <v>11</v>
      </c>
      <c r="K20" s="5" t="s">
        <v>42</v>
      </c>
      <c r="L20" t="s">
        <v>214</v>
      </c>
      <c r="M20" t="str">
        <f>VLOOKUP(E20,Price!$A$2:$C$9,3,)</f>
        <v>$58.00</v>
      </c>
      <c r="N20">
        <f t="shared" si="3"/>
        <v>1155</v>
      </c>
      <c r="O20">
        <f t="shared" si="4"/>
        <v>638</v>
      </c>
      <c r="P20">
        <f t="shared" si="5"/>
        <v>517</v>
      </c>
      <c r="Q20" s="20">
        <f>Table1[[#This Row],[Profit ]]/Table1[[#This Row],[Total Revenue]]</f>
        <v>0.44761904761904764</v>
      </c>
    </row>
    <row r="21" spans="1:17" ht="15.75" thickBot="1" x14ac:dyDescent="0.3">
      <c r="A21" s="10">
        <v>46147</v>
      </c>
      <c r="B21" s="16" t="str">
        <f t="shared" si="0"/>
        <v>6147</v>
      </c>
      <c r="C21" s="16" t="str">
        <f t="shared" si="1"/>
        <v>47</v>
      </c>
      <c r="D21" s="16" t="str">
        <f t="shared" si="2"/>
        <v>Nov</v>
      </c>
      <c r="E21" s="5" t="s">
        <v>80</v>
      </c>
      <c r="F21" s="5" t="s">
        <v>35</v>
      </c>
      <c r="G21" s="8" t="s">
        <v>11</v>
      </c>
      <c r="H21" s="5" t="s">
        <v>12</v>
      </c>
      <c r="I21" s="8" t="s">
        <v>73</v>
      </c>
      <c r="J21" s="9">
        <v>6</v>
      </c>
      <c r="K21" s="8" t="s">
        <v>42</v>
      </c>
      <c r="L21" t="s">
        <v>210</v>
      </c>
      <c r="M21" t="str">
        <f>VLOOKUP(E21,Price!$A$2:$C$9,3,)</f>
        <v>$39.00</v>
      </c>
      <c r="N21">
        <f t="shared" si="3"/>
        <v>456</v>
      </c>
      <c r="O21">
        <f t="shared" si="4"/>
        <v>234</v>
      </c>
      <c r="P21">
        <f t="shared" si="5"/>
        <v>222</v>
      </c>
      <c r="Q21" s="20">
        <f>Table1[[#This Row],[Profit ]]/Table1[[#This Row],[Total Revenue]]</f>
        <v>0.48684210526315791</v>
      </c>
    </row>
    <row r="22" spans="1:17" ht="15.75" thickBot="1" x14ac:dyDescent="0.3">
      <c r="A22" s="11">
        <v>46211</v>
      </c>
      <c r="B22" s="17" t="str">
        <f t="shared" si="0"/>
        <v>6211</v>
      </c>
      <c r="C22" s="17" t="str">
        <f t="shared" si="1"/>
        <v>11</v>
      </c>
      <c r="D22" s="17" t="str">
        <f t="shared" si="2"/>
        <v>Oct</v>
      </c>
      <c r="E22" s="5" t="s">
        <v>74</v>
      </c>
      <c r="F22" s="5" t="s">
        <v>10</v>
      </c>
      <c r="G22" s="5" t="s">
        <v>11</v>
      </c>
      <c r="H22" s="5" t="s">
        <v>52</v>
      </c>
      <c r="I22" s="5" t="s">
        <v>56</v>
      </c>
      <c r="J22" s="6">
        <v>8</v>
      </c>
      <c r="K22" s="5" t="s">
        <v>19</v>
      </c>
      <c r="L22" t="s">
        <v>204</v>
      </c>
      <c r="M22" t="str">
        <f>VLOOKUP(E22,Price!$A$2:$C$9,3,)</f>
        <v>$47.00</v>
      </c>
      <c r="N22">
        <f t="shared" si="3"/>
        <v>712</v>
      </c>
      <c r="O22">
        <f t="shared" si="4"/>
        <v>376</v>
      </c>
      <c r="P22">
        <f t="shared" si="5"/>
        <v>336</v>
      </c>
      <c r="Q22" s="20">
        <f>Table1[[#This Row],[Profit ]]/Table1[[#This Row],[Total Revenue]]</f>
        <v>0.47191011235955055</v>
      </c>
    </row>
    <row r="23" spans="1:17" ht="15.75" thickBot="1" x14ac:dyDescent="0.3">
      <c r="A23" s="10" t="s">
        <v>75</v>
      </c>
      <c r="B23" s="16" t="str">
        <f t="shared" si="0"/>
        <v>2026</v>
      </c>
      <c r="C23" s="16" t="str">
        <f t="shared" si="1"/>
        <v>14</v>
      </c>
      <c r="D23" s="16" t="str">
        <f t="shared" si="2"/>
        <v>Jul</v>
      </c>
      <c r="E23" s="5" t="s">
        <v>140</v>
      </c>
      <c r="F23" s="5" t="s">
        <v>62</v>
      </c>
      <c r="G23" s="8" t="s">
        <v>23</v>
      </c>
      <c r="H23" s="5" t="s">
        <v>67</v>
      </c>
      <c r="I23" s="8" t="s">
        <v>47</v>
      </c>
      <c r="J23" s="9">
        <v>5</v>
      </c>
      <c r="K23" s="8" t="s">
        <v>50</v>
      </c>
      <c r="L23" t="s">
        <v>216</v>
      </c>
      <c r="M23" t="str">
        <f>VLOOKUP(E23,Price!$A$2:$C$9,3,)</f>
        <v>$64.00</v>
      </c>
      <c r="N23">
        <f t="shared" si="3"/>
        <v>560</v>
      </c>
      <c r="O23">
        <f t="shared" si="4"/>
        <v>320</v>
      </c>
      <c r="P23">
        <f t="shared" si="5"/>
        <v>240</v>
      </c>
      <c r="Q23" s="20">
        <f>Table1[[#This Row],[Profit ]]/Table1[[#This Row],[Total Revenue]]</f>
        <v>0.42857142857142855</v>
      </c>
    </row>
    <row r="24" spans="1:17" ht="15.75" thickBot="1" x14ac:dyDescent="0.3">
      <c r="A24" s="11">
        <v>46357</v>
      </c>
      <c r="B24" s="17" t="str">
        <f t="shared" si="0"/>
        <v>6357</v>
      </c>
      <c r="C24" s="17" t="str">
        <f t="shared" si="1"/>
        <v>57</v>
      </c>
      <c r="D24" s="17" t="str">
        <f t="shared" si="2"/>
        <v>Nov</v>
      </c>
      <c r="E24" s="5" t="s">
        <v>72</v>
      </c>
      <c r="F24" s="5" t="s">
        <v>10</v>
      </c>
      <c r="G24" s="5" t="s">
        <v>23</v>
      </c>
      <c r="H24" s="5" t="s">
        <v>67</v>
      </c>
      <c r="I24" s="5" t="s">
        <v>73</v>
      </c>
      <c r="J24" s="6">
        <v>15</v>
      </c>
      <c r="K24" s="5" t="s">
        <v>19</v>
      </c>
      <c r="L24" t="s">
        <v>214</v>
      </c>
      <c r="M24" t="str">
        <f>VLOOKUP(E24,Price!$A$2:$C$9,3,)</f>
        <v>$58.00</v>
      </c>
      <c r="N24">
        <f t="shared" si="3"/>
        <v>1575</v>
      </c>
      <c r="O24">
        <f t="shared" si="4"/>
        <v>870</v>
      </c>
      <c r="P24">
        <f t="shared" si="5"/>
        <v>705</v>
      </c>
      <c r="Q24" s="20">
        <f>Table1[[#This Row],[Profit ]]/Table1[[#This Row],[Total Revenue]]</f>
        <v>0.44761904761904764</v>
      </c>
    </row>
    <row r="25" spans="1:17" ht="15.75" thickBot="1" x14ac:dyDescent="0.3">
      <c r="A25" s="10" t="s">
        <v>77</v>
      </c>
      <c r="B25" s="16" t="str">
        <f t="shared" si="0"/>
        <v>2026</v>
      </c>
      <c r="C25" s="16" t="str">
        <f t="shared" si="1"/>
        <v>28</v>
      </c>
      <c r="D25" s="16" t="str">
        <f t="shared" si="2"/>
        <v>Jan</v>
      </c>
      <c r="E25" s="5" t="s">
        <v>34</v>
      </c>
      <c r="F25" s="5" t="s">
        <v>10</v>
      </c>
      <c r="G25" s="8" t="s">
        <v>23</v>
      </c>
      <c r="H25" s="5" t="s">
        <v>67</v>
      </c>
      <c r="I25" s="8" t="s">
        <v>49</v>
      </c>
      <c r="J25" s="9">
        <v>1</v>
      </c>
      <c r="K25" s="8" t="s">
        <v>19</v>
      </c>
      <c r="L25" t="s">
        <v>212</v>
      </c>
      <c r="M25" t="str">
        <f>VLOOKUP(E25,Price!$A$2:$C$9,3,)</f>
        <v>$72.00</v>
      </c>
      <c r="N25">
        <f t="shared" si="3"/>
        <v>128</v>
      </c>
      <c r="O25">
        <f t="shared" si="4"/>
        <v>72</v>
      </c>
      <c r="P25">
        <f t="shared" si="5"/>
        <v>56</v>
      </c>
      <c r="Q25" s="20">
        <f>Table1[[#This Row],[Profit ]]/Table1[[#This Row],[Total Revenue]]</f>
        <v>0.4375</v>
      </c>
    </row>
    <row r="26" spans="1:17" ht="15.75" thickBot="1" x14ac:dyDescent="0.3">
      <c r="A26" s="11" t="s">
        <v>79</v>
      </c>
      <c r="B26" s="17" t="str">
        <f t="shared" si="0"/>
        <v>2026</v>
      </c>
      <c r="C26" s="17" t="str">
        <f t="shared" si="1"/>
        <v>13</v>
      </c>
      <c r="D26" s="17" t="str">
        <f t="shared" si="2"/>
        <v>Jan</v>
      </c>
      <c r="E26" s="5" t="s">
        <v>80</v>
      </c>
      <c r="F26" s="5" t="s">
        <v>62</v>
      </c>
      <c r="G26" s="5" t="s">
        <v>36</v>
      </c>
      <c r="H26" s="5" t="s">
        <v>52</v>
      </c>
      <c r="I26" s="5" t="s">
        <v>38</v>
      </c>
      <c r="J26" s="6">
        <v>12</v>
      </c>
      <c r="K26" s="5" t="s">
        <v>42</v>
      </c>
      <c r="L26" t="s">
        <v>210</v>
      </c>
      <c r="M26" t="str">
        <f>VLOOKUP(E26,Price!$A$2:$C$9,3,)</f>
        <v>$39.00</v>
      </c>
      <c r="N26">
        <f t="shared" si="3"/>
        <v>912</v>
      </c>
      <c r="O26">
        <f t="shared" si="4"/>
        <v>468</v>
      </c>
      <c r="P26">
        <f t="shared" si="5"/>
        <v>444</v>
      </c>
      <c r="Q26" s="20">
        <f>Table1[[#This Row],[Profit ]]/Table1[[#This Row],[Total Revenue]]</f>
        <v>0.48684210526315791</v>
      </c>
    </row>
    <row r="27" spans="1:17" ht="15.75" thickBot="1" x14ac:dyDescent="0.3">
      <c r="A27" s="10" t="s">
        <v>81</v>
      </c>
      <c r="B27" s="16" t="str">
        <f t="shared" si="0"/>
        <v>2026</v>
      </c>
      <c r="C27" s="16" t="str">
        <f t="shared" si="1"/>
        <v>13</v>
      </c>
      <c r="D27" s="16" t="str">
        <f t="shared" si="2"/>
        <v>Mar</v>
      </c>
      <c r="E27" s="5" t="s">
        <v>97</v>
      </c>
      <c r="F27" s="5" t="s">
        <v>35</v>
      </c>
      <c r="G27" s="8" t="s">
        <v>23</v>
      </c>
      <c r="H27" s="5" t="s">
        <v>67</v>
      </c>
      <c r="I27" s="8" t="s">
        <v>53</v>
      </c>
      <c r="J27" s="9">
        <v>9</v>
      </c>
      <c r="K27" s="8" t="s">
        <v>50</v>
      </c>
      <c r="L27" t="s">
        <v>206</v>
      </c>
      <c r="M27" t="str">
        <f>VLOOKUP(E27,Price!$A$2:$C$9,3,)</f>
        <v>$28.00</v>
      </c>
      <c r="N27">
        <f t="shared" si="3"/>
        <v>486</v>
      </c>
      <c r="O27">
        <f t="shared" si="4"/>
        <v>252</v>
      </c>
      <c r="P27">
        <f t="shared" si="5"/>
        <v>234</v>
      </c>
      <c r="Q27" s="20">
        <f>Table1[[#This Row],[Profit ]]/Table1[[#This Row],[Total Revenue]]</f>
        <v>0.48148148148148145</v>
      </c>
    </row>
    <row r="28" spans="1:17" ht="15.75" thickBot="1" x14ac:dyDescent="0.3">
      <c r="A28" s="11">
        <v>46333</v>
      </c>
      <c r="B28" s="17" t="str">
        <f t="shared" si="0"/>
        <v>6333</v>
      </c>
      <c r="C28" s="17" t="str">
        <f t="shared" si="1"/>
        <v>33</v>
      </c>
      <c r="D28" s="17" t="str">
        <f t="shared" si="2"/>
        <v>Nov</v>
      </c>
      <c r="E28" s="5" t="s">
        <v>72</v>
      </c>
      <c r="F28" s="5" t="s">
        <v>10</v>
      </c>
      <c r="G28" s="5" t="s">
        <v>23</v>
      </c>
      <c r="H28" s="5" t="s">
        <v>52</v>
      </c>
      <c r="I28" s="5" t="s">
        <v>38</v>
      </c>
      <c r="J28" s="6">
        <v>5</v>
      </c>
      <c r="K28" s="5" t="s">
        <v>50</v>
      </c>
      <c r="L28" t="s">
        <v>214</v>
      </c>
      <c r="M28" t="str">
        <f>VLOOKUP(E28,Price!$A$2:$C$9,3,)</f>
        <v>$58.00</v>
      </c>
      <c r="N28">
        <f t="shared" si="3"/>
        <v>525</v>
      </c>
      <c r="O28">
        <f t="shared" si="4"/>
        <v>290</v>
      </c>
      <c r="P28">
        <f t="shared" si="5"/>
        <v>235</v>
      </c>
      <c r="Q28" s="20">
        <f>Table1[[#This Row],[Profit ]]/Table1[[#This Row],[Total Revenue]]</f>
        <v>0.44761904761904764</v>
      </c>
    </row>
    <row r="29" spans="1:17" ht="15.75" thickBot="1" x14ac:dyDescent="0.3">
      <c r="A29" s="10">
        <v>46298</v>
      </c>
      <c r="B29" s="16" t="str">
        <f t="shared" si="0"/>
        <v>6298</v>
      </c>
      <c r="C29" s="16" t="str">
        <f t="shared" si="1"/>
        <v>98</v>
      </c>
      <c r="D29" s="16" t="str">
        <f t="shared" si="2"/>
        <v>Jan</v>
      </c>
      <c r="E29" s="5" t="s">
        <v>97</v>
      </c>
      <c r="F29" s="5" t="s">
        <v>62</v>
      </c>
      <c r="G29" s="8" t="s">
        <v>23</v>
      </c>
      <c r="H29" s="5" t="s">
        <v>52</v>
      </c>
      <c r="I29" s="8" t="s">
        <v>73</v>
      </c>
      <c r="J29" s="9">
        <v>8</v>
      </c>
      <c r="K29" s="8" t="s">
        <v>14</v>
      </c>
      <c r="L29" t="s">
        <v>206</v>
      </c>
      <c r="M29" t="str">
        <f>VLOOKUP(E29,Price!$A$2:$C$9,3,)</f>
        <v>$28.00</v>
      </c>
      <c r="N29">
        <f t="shared" si="3"/>
        <v>432</v>
      </c>
      <c r="O29">
        <f t="shared" si="4"/>
        <v>224</v>
      </c>
      <c r="P29">
        <f t="shared" si="5"/>
        <v>208</v>
      </c>
      <c r="Q29" s="20">
        <f>Table1[[#This Row],[Profit ]]/Table1[[#This Row],[Total Revenue]]</f>
        <v>0.48148148148148145</v>
      </c>
    </row>
    <row r="30" spans="1:17" ht="15.75" thickBot="1" x14ac:dyDescent="0.3">
      <c r="A30" s="11" t="s">
        <v>82</v>
      </c>
      <c r="B30" s="17" t="str">
        <f t="shared" si="0"/>
        <v>2026</v>
      </c>
      <c r="C30" s="17" t="str">
        <f t="shared" si="1"/>
        <v>30</v>
      </c>
      <c r="D30" s="17" t="str">
        <f t="shared" si="2"/>
        <v>Apr</v>
      </c>
      <c r="E30" s="5" t="s">
        <v>72</v>
      </c>
      <c r="F30" s="5" t="s">
        <v>10</v>
      </c>
      <c r="G30" s="5" t="s">
        <v>11</v>
      </c>
      <c r="H30" s="5" t="s">
        <v>63</v>
      </c>
      <c r="I30" s="5" t="s">
        <v>25</v>
      </c>
      <c r="J30" s="6">
        <v>2</v>
      </c>
      <c r="K30" s="5" t="s">
        <v>14</v>
      </c>
      <c r="L30" t="s">
        <v>214</v>
      </c>
      <c r="M30" t="str">
        <f>VLOOKUP(E30,Price!$A$2:$C$9,3,)</f>
        <v>$58.00</v>
      </c>
      <c r="N30">
        <f t="shared" si="3"/>
        <v>210</v>
      </c>
      <c r="O30">
        <f t="shared" si="4"/>
        <v>116</v>
      </c>
      <c r="P30">
        <f t="shared" si="5"/>
        <v>94</v>
      </c>
      <c r="Q30" s="20">
        <f>Table1[[#This Row],[Profit ]]/Table1[[#This Row],[Total Revenue]]</f>
        <v>0.44761904761904764</v>
      </c>
    </row>
    <row r="31" spans="1:17" ht="15.75" thickBot="1" x14ac:dyDescent="0.3">
      <c r="A31" s="10" t="s">
        <v>84</v>
      </c>
      <c r="B31" s="16" t="str">
        <f t="shared" si="0"/>
        <v>2026</v>
      </c>
      <c r="C31" s="16" t="str">
        <f t="shared" si="1"/>
        <v>15</v>
      </c>
      <c r="D31" s="16" t="str">
        <f t="shared" si="2"/>
        <v>Feb</v>
      </c>
      <c r="E31" s="5" t="s">
        <v>74</v>
      </c>
      <c r="F31" s="5" t="s">
        <v>10</v>
      </c>
      <c r="G31" s="8" t="s">
        <v>36</v>
      </c>
      <c r="H31" s="5" t="s">
        <v>63</v>
      </c>
      <c r="I31" s="8" t="s">
        <v>86</v>
      </c>
      <c r="J31" s="9">
        <v>7</v>
      </c>
      <c r="K31" s="8" t="s">
        <v>42</v>
      </c>
      <c r="L31" t="s">
        <v>204</v>
      </c>
      <c r="M31" t="str">
        <f>VLOOKUP(E31,Price!$A$2:$C$9,3,)</f>
        <v>$47.00</v>
      </c>
      <c r="N31">
        <f t="shared" si="3"/>
        <v>623</v>
      </c>
      <c r="O31">
        <f t="shared" si="4"/>
        <v>329</v>
      </c>
      <c r="P31">
        <f t="shared" si="5"/>
        <v>294</v>
      </c>
      <c r="Q31" s="20">
        <f>Table1[[#This Row],[Profit ]]/Table1[[#This Row],[Total Revenue]]</f>
        <v>0.47191011235955055</v>
      </c>
    </row>
    <row r="32" spans="1:17" ht="15.75" thickBot="1" x14ac:dyDescent="0.3">
      <c r="A32" s="11" t="s">
        <v>87</v>
      </c>
      <c r="B32" s="17" t="str">
        <f t="shared" si="0"/>
        <v>2026</v>
      </c>
      <c r="C32" s="17" t="str">
        <f t="shared" si="1"/>
        <v>16</v>
      </c>
      <c r="D32" s="17" t="str">
        <f t="shared" si="2"/>
        <v>Jul</v>
      </c>
      <c r="E32" s="5" t="s">
        <v>140</v>
      </c>
      <c r="F32" s="5" t="s">
        <v>10</v>
      </c>
      <c r="G32" s="5" t="s">
        <v>11</v>
      </c>
      <c r="H32" s="5" t="s">
        <v>67</v>
      </c>
      <c r="I32" s="5" t="s">
        <v>56</v>
      </c>
      <c r="J32" s="6">
        <v>12</v>
      </c>
      <c r="K32" s="5" t="s">
        <v>50</v>
      </c>
      <c r="L32" t="s">
        <v>216</v>
      </c>
      <c r="M32" t="str">
        <f>VLOOKUP(E32,Price!$A$2:$C$9,3,)</f>
        <v>$64.00</v>
      </c>
      <c r="N32">
        <f t="shared" si="3"/>
        <v>1344</v>
      </c>
      <c r="O32">
        <f t="shared" si="4"/>
        <v>768</v>
      </c>
      <c r="P32">
        <f t="shared" si="5"/>
        <v>576</v>
      </c>
      <c r="Q32" s="20">
        <f>Table1[[#This Row],[Profit ]]/Table1[[#This Row],[Total Revenue]]</f>
        <v>0.42857142857142855</v>
      </c>
    </row>
    <row r="33" spans="1:17" ht="15.75" thickBot="1" x14ac:dyDescent="0.3">
      <c r="A33" s="10">
        <v>46362</v>
      </c>
      <c r="B33" s="16" t="str">
        <f t="shared" si="0"/>
        <v>6362</v>
      </c>
      <c r="C33" s="16" t="str">
        <f t="shared" si="1"/>
        <v>62</v>
      </c>
      <c r="D33" s="16" t="str">
        <f t="shared" si="2"/>
        <v>Dec</v>
      </c>
      <c r="E33" s="5" t="s">
        <v>34</v>
      </c>
      <c r="F33" s="5" t="s">
        <v>10</v>
      </c>
      <c r="G33" s="8" t="s">
        <v>36</v>
      </c>
      <c r="H33" s="5" t="s">
        <v>52</v>
      </c>
      <c r="I33" s="8" t="s">
        <v>73</v>
      </c>
      <c r="J33" s="9">
        <v>15</v>
      </c>
      <c r="K33" s="8" t="s">
        <v>19</v>
      </c>
      <c r="L33" t="s">
        <v>212</v>
      </c>
      <c r="M33" t="str">
        <f>VLOOKUP(E33,Price!$A$2:$C$9,3,)</f>
        <v>$72.00</v>
      </c>
      <c r="N33">
        <f t="shared" si="3"/>
        <v>1920</v>
      </c>
      <c r="O33">
        <f t="shared" si="4"/>
        <v>1080</v>
      </c>
      <c r="P33">
        <f t="shared" si="5"/>
        <v>840</v>
      </c>
      <c r="Q33" s="20">
        <f>Table1[[#This Row],[Profit ]]/Table1[[#This Row],[Total Revenue]]</f>
        <v>0.4375</v>
      </c>
    </row>
    <row r="34" spans="1:17" ht="15.75" thickBot="1" x14ac:dyDescent="0.3">
      <c r="A34" s="11">
        <v>46061</v>
      </c>
      <c r="B34" s="17" t="str">
        <f t="shared" si="0"/>
        <v>6061</v>
      </c>
      <c r="C34" s="17" t="str">
        <f t="shared" si="1"/>
        <v>61</v>
      </c>
      <c r="D34" s="17" t="str">
        <f t="shared" si="2"/>
        <v>Nov</v>
      </c>
      <c r="E34" s="5" t="s">
        <v>80</v>
      </c>
      <c r="F34" s="5" t="s">
        <v>10</v>
      </c>
      <c r="G34" s="5" t="s">
        <v>11</v>
      </c>
      <c r="H34" s="5" t="s">
        <v>63</v>
      </c>
      <c r="I34" s="5" t="s">
        <v>13</v>
      </c>
      <c r="J34" s="6">
        <v>7</v>
      </c>
      <c r="K34" s="5" t="s">
        <v>50</v>
      </c>
      <c r="L34" t="s">
        <v>210</v>
      </c>
      <c r="M34" t="str">
        <f>VLOOKUP(E34,Price!$A$2:$C$9,3,)</f>
        <v>$39.00</v>
      </c>
      <c r="N34">
        <f t="shared" si="3"/>
        <v>532</v>
      </c>
      <c r="O34">
        <f t="shared" si="4"/>
        <v>273</v>
      </c>
      <c r="P34">
        <f t="shared" si="5"/>
        <v>259</v>
      </c>
      <c r="Q34" s="20">
        <f>Table1[[#This Row],[Profit ]]/Table1[[#This Row],[Total Revenue]]</f>
        <v>0.48684210526315791</v>
      </c>
    </row>
    <row r="35" spans="1:17" ht="15.75" thickBot="1" x14ac:dyDescent="0.3">
      <c r="A35" s="10" t="s">
        <v>89</v>
      </c>
      <c r="B35" s="16" t="str">
        <f t="shared" si="0"/>
        <v>2026</v>
      </c>
      <c r="C35" s="16" t="str">
        <f t="shared" si="1"/>
        <v>30</v>
      </c>
      <c r="D35" s="16" t="str">
        <f t="shared" si="2"/>
        <v>Mar</v>
      </c>
      <c r="E35" s="5" t="s">
        <v>140</v>
      </c>
      <c r="F35" s="5" t="s">
        <v>10</v>
      </c>
      <c r="G35" s="8" t="s">
        <v>17</v>
      </c>
      <c r="H35" s="5" t="s">
        <v>12</v>
      </c>
      <c r="I35" s="8" t="s">
        <v>49</v>
      </c>
      <c r="J35" s="9">
        <v>10</v>
      </c>
      <c r="K35" s="8" t="s">
        <v>14</v>
      </c>
      <c r="L35" t="s">
        <v>216</v>
      </c>
      <c r="M35" t="str">
        <f>VLOOKUP(E35,Price!$A$2:$C$9,3,)</f>
        <v>$64.00</v>
      </c>
      <c r="N35">
        <f t="shared" si="3"/>
        <v>1120</v>
      </c>
      <c r="O35">
        <f t="shared" si="4"/>
        <v>640</v>
      </c>
      <c r="P35">
        <f t="shared" si="5"/>
        <v>480</v>
      </c>
      <c r="Q35" s="20">
        <f>Table1[[#This Row],[Profit ]]/Table1[[#This Row],[Total Revenue]]</f>
        <v>0.42857142857142855</v>
      </c>
    </row>
    <row r="36" spans="1:17" ht="15.75" thickBot="1" x14ac:dyDescent="0.3">
      <c r="A36" s="11" t="s">
        <v>51</v>
      </c>
      <c r="B36" s="17" t="str">
        <f t="shared" si="0"/>
        <v>2026</v>
      </c>
      <c r="C36" s="17" t="str">
        <f t="shared" si="1"/>
        <v>20</v>
      </c>
      <c r="D36" s="17" t="str">
        <f t="shared" si="2"/>
        <v>Apr</v>
      </c>
      <c r="E36" s="5" t="s">
        <v>74</v>
      </c>
      <c r="F36" s="5" t="s">
        <v>90</v>
      </c>
      <c r="G36" s="5" t="s">
        <v>23</v>
      </c>
      <c r="H36" s="5" t="s">
        <v>12</v>
      </c>
      <c r="I36" s="5" t="s">
        <v>64</v>
      </c>
      <c r="J36" s="6">
        <v>7</v>
      </c>
      <c r="K36" s="5" t="s">
        <v>14</v>
      </c>
      <c r="L36" t="s">
        <v>204</v>
      </c>
      <c r="M36" t="str">
        <f>VLOOKUP(E36,Price!$A$2:$C$9,3,)</f>
        <v>$47.00</v>
      </c>
      <c r="N36">
        <f t="shared" si="3"/>
        <v>623</v>
      </c>
      <c r="O36">
        <f t="shared" si="4"/>
        <v>329</v>
      </c>
      <c r="P36">
        <f t="shared" si="5"/>
        <v>294</v>
      </c>
      <c r="Q36" s="20">
        <f>Table1[[#This Row],[Profit ]]/Table1[[#This Row],[Total Revenue]]</f>
        <v>0.47191011235955055</v>
      </c>
    </row>
    <row r="37" spans="1:17" ht="15.75" thickBot="1" x14ac:dyDescent="0.3">
      <c r="A37" s="10" t="s">
        <v>91</v>
      </c>
      <c r="B37" s="16" t="str">
        <f t="shared" si="0"/>
        <v>2026</v>
      </c>
      <c r="C37" s="16" t="str">
        <f t="shared" si="1"/>
        <v>25</v>
      </c>
      <c r="D37" s="16" t="str">
        <f t="shared" si="2"/>
        <v>Jul</v>
      </c>
      <c r="E37" s="5" t="s">
        <v>80</v>
      </c>
      <c r="F37" s="5" t="s">
        <v>10</v>
      </c>
      <c r="G37" s="8" t="s">
        <v>11</v>
      </c>
      <c r="H37" s="5" t="s">
        <v>138</v>
      </c>
      <c r="I37" s="8" t="s">
        <v>28</v>
      </c>
      <c r="J37" s="9">
        <v>5</v>
      </c>
      <c r="K37" s="8" t="s">
        <v>19</v>
      </c>
      <c r="L37" t="s">
        <v>210</v>
      </c>
      <c r="M37" t="str">
        <f>VLOOKUP(E37,Price!$A$2:$C$9,3,)</f>
        <v>$39.00</v>
      </c>
      <c r="N37">
        <f t="shared" si="3"/>
        <v>380</v>
      </c>
      <c r="O37">
        <f t="shared" si="4"/>
        <v>195</v>
      </c>
      <c r="P37">
        <f t="shared" si="5"/>
        <v>185</v>
      </c>
      <c r="Q37" s="20">
        <f>Table1[[#This Row],[Profit ]]/Table1[[#This Row],[Total Revenue]]</f>
        <v>0.48684210526315791</v>
      </c>
    </row>
    <row r="38" spans="1:17" ht="15.75" thickBot="1" x14ac:dyDescent="0.3">
      <c r="A38" s="11">
        <v>46087</v>
      </c>
      <c r="B38" s="17" t="str">
        <f t="shared" si="0"/>
        <v>6087</v>
      </c>
      <c r="C38" s="17" t="str">
        <f t="shared" si="1"/>
        <v>87</v>
      </c>
      <c r="D38" s="17" t="str">
        <f t="shared" si="2"/>
        <v>Dec</v>
      </c>
      <c r="E38" s="5" t="s">
        <v>80</v>
      </c>
      <c r="F38" s="5" t="s">
        <v>10</v>
      </c>
      <c r="G38" s="5" t="s">
        <v>11</v>
      </c>
      <c r="H38" s="5" t="s">
        <v>52</v>
      </c>
      <c r="I38" s="5" t="s">
        <v>53</v>
      </c>
      <c r="J38" s="6">
        <v>11</v>
      </c>
      <c r="K38" s="5" t="s">
        <v>14</v>
      </c>
      <c r="L38" t="s">
        <v>210</v>
      </c>
      <c r="M38" t="str">
        <f>VLOOKUP(E38,Price!$A$2:$C$9,3,)</f>
        <v>$39.00</v>
      </c>
      <c r="N38">
        <f t="shared" si="3"/>
        <v>836</v>
      </c>
      <c r="O38">
        <f t="shared" si="4"/>
        <v>429</v>
      </c>
      <c r="P38">
        <f t="shared" si="5"/>
        <v>407</v>
      </c>
      <c r="Q38" s="20">
        <f>Table1[[#This Row],[Profit ]]/Table1[[#This Row],[Total Revenue]]</f>
        <v>0.48684210526315791</v>
      </c>
    </row>
    <row r="39" spans="1:17" ht="15.75" thickBot="1" x14ac:dyDescent="0.3">
      <c r="A39" s="10" t="s">
        <v>60</v>
      </c>
      <c r="B39" s="16" t="str">
        <f t="shared" si="0"/>
        <v>2026</v>
      </c>
      <c r="C39" s="16" t="str">
        <f t="shared" si="1"/>
        <v>23</v>
      </c>
      <c r="D39" s="16" t="str">
        <f t="shared" si="2"/>
        <v>Jul</v>
      </c>
      <c r="E39" s="5" t="s">
        <v>118</v>
      </c>
      <c r="F39" s="5" t="s">
        <v>62</v>
      </c>
      <c r="G39" s="8" t="s">
        <v>11</v>
      </c>
      <c r="H39" s="5" t="s">
        <v>63</v>
      </c>
      <c r="I39" s="8" t="s">
        <v>73</v>
      </c>
      <c r="J39" s="9">
        <v>10</v>
      </c>
      <c r="K39" s="8" t="s">
        <v>14</v>
      </c>
      <c r="L39" t="s">
        <v>218</v>
      </c>
      <c r="M39" t="str">
        <f>VLOOKUP(E39,Price!$A$2:$C$9,3,)</f>
        <v>$67.00</v>
      </c>
      <c r="N39">
        <f t="shared" si="3"/>
        <v>1190</v>
      </c>
      <c r="O39">
        <f t="shared" si="4"/>
        <v>670</v>
      </c>
      <c r="P39">
        <f t="shared" si="5"/>
        <v>520</v>
      </c>
      <c r="Q39" s="20">
        <f>Table1[[#This Row],[Profit ]]/Table1[[#This Row],[Total Revenue]]</f>
        <v>0.43697478991596639</v>
      </c>
    </row>
    <row r="40" spans="1:17" ht="15.75" thickBot="1" x14ac:dyDescent="0.3">
      <c r="A40" s="11" t="s">
        <v>91</v>
      </c>
      <c r="B40" s="17" t="str">
        <f t="shared" si="0"/>
        <v>2026</v>
      </c>
      <c r="C40" s="17" t="str">
        <f t="shared" si="1"/>
        <v>25</v>
      </c>
      <c r="D40" s="17" t="str">
        <f t="shared" si="2"/>
        <v>Jul</v>
      </c>
      <c r="E40" s="5" t="s">
        <v>97</v>
      </c>
      <c r="F40" s="5" t="s">
        <v>90</v>
      </c>
      <c r="G40" s="5" t="s">
        <v>23</v>
      </c>
      <c r="H40" s="5" t="s">
        <v>52</v>
      </c>
      <c r="I40" s="5" t="s">
        <v>41</v>
      </c>
      <c r="J40" s="6">
        <v>10</v>
      </c>
      <c r="K40" s="5" t="s">
        <v>50</v>
      </c>
      <c r="L40" t="s">
        <v>206</v>
      </c>
      <c r="M40" t="str">
        <f>VLOOKUP(E40,Price!$A$2:$C$9,3,)</f>
        <v>$28.00</v>
      </c>
      <c r="N40">
        <f t="shared" si="3"/>
        <v>540</v>
      </c>
      <c r="O40">
        <f t="shared" si="4"/>
        <v>280</v>
      </c>
      <c r="P40">
        <f t="shared" si="5"/>
        <v>260</v>
      </c>
      <c r="Q40" s="20">
        <f>Table1[[#This Row],[Profit ]]/Table1[[#This Row],[Total Revenue]]</f>
        <v>0.48148148148148145</v>
      </c>
    </row>
    <row r="41" spans="1:17" ht="15.75" thickBot="1" x14ac:dyDescent="0.3">
      <c r="A41" s="10">
        <v>46087</v>
      </c>
      <c r="B41" s="16" t="str">
        <f t="shared" si="0"/>
        <v>6087</v>
      </c>
      <c r="C41" s="16" t="str">
        <f t="shared" si="1"/>
        <v>87</v>
      </c>
      <c r="D41" s="16" t="str">
        <f t="shared" si="2"/>
        <v>Dec</v>
      </c>
      <c r="E41" s="5" t="s">
        <v>72</v>
      </c>
      <c r="F41" s="5" t="s">
        <v>10</v>
      </c>
      <c r="G41" s="8" t="s">
        <v>11</v>
      </c>
      <c r="H41" s="5" t="s">
        <v>67</v>
      </c>
      <c r="I41" s="8" t="s">
        <v>56</v>
      </c>
      <c r="J41" s="9">
        <v>13</v>
      </c>
      <c r="K41" s="8" t="s">
        <v>14</v>
      </c>
      <c r="L41" t="s">
        <v>214</v>
      </c>
      <c r="M41" t="str">
        <f>VLOOKUP(E41,Price!$A$2:$C$9,3,)</f>
        <v>$58.00</v>
      </c>
      <c r="N41">
        <f t="shared" si="3"/>
        <v>1365</v>
      </c>
      <c r="O41">
        <f t="shared" si="4"/>
        <v>754</v>
      </c>
      <c r="P41">
        <f t="shared" si="5"/>
        <v>611</v>
      </c>
      <c r="Q41" s="20">
        <f>Table1[[#This Row],[Profit ]]/Table1[[#This Row],[Total Revenue]]</f>
        <v>0.44761904761904764</v>
      </c>
    </row>
    <row r="42" spans="1:17" ht="15.75" thickBot="1" x14ac:dyDescent="0.3">
      <c r="A42" s="11">
        <v>46268</v>
      </c>
      <c r="B42" s="17" t="str">
        <f t="shared" si="0"/>
        <v>6268</v>
      </c>
      <c r="C42" s="17" t="str">
        <f t="shared" si="1"/>
        <v>68</v>
      </c>
      <c r="D42" s="17" t="str">
        <f t="shared" si="2"/>
        <v>Dec</v>
      </c>
      <c r="E42" s="5" t="s">
        <v>140</v>
      </c>
      <c r="F42" s="5" t="s">
        <v>10</v>
      </c>
      <c r="G42" s="5" t="s">
        <v>36</v>
      </c>
      <c r="H42" s="5" t="s">
        <v>52</v>
      </c>
      <c r="I42" s="5" t="s">
        <v>41</v>
      </c>
      <c r="J42" s="6">
        <v>7</v>
      </c>
      <c r="K42" s="5" t="s">
        <v>42</v>
      </c>
      <c r="L42" t="s">
        <v>216</v>
      </c>
      <c r="M42" t="str">
        <f>VLOOKUP(E42,Price!$A$2:$C$9,3,)</f>
        <v>$64.00</v>
      </c>
      <c r="N42">
        <f t="shared" si="3"/>
        <v>784</v>
      </c>
      <c r="O42">
        <f t="shared" si="4"/>
        <v>448</v>
      </c>
      <c r="P42">
        <f t="shared" si="5"/>
        <v>336</v>
      </c>
      <c r="Q42" s="20">
        <f>Table1[[#This Row],[Profit ]]/Table1[[#This Row],[Total Revenue]]</f>
        <v>0.42857142857142855</v>
      </c>
    </row>
    <row r="43" spans="1:17" ht="15.75" thickBot="1" x14ac:dyDescent="0.3">
      <c r="A43" s="10" t="s">
        <v>93</v>
      </c>
      <c r="B43" s="16" t="str">
        <f t="shared" si="0"/>
        <v>2026</v>
      </c>
      <c r="C43" s="16" t="str">
        <f t="shared" si="1"/>
        <v>19</v>
      </c>
      <c r="D43" s="16" t="str">
        <f t="shared" si="2"/>
        <v>Feb</v>
      </c>
      <c r="E43" s="5" t="s">
        <v>80</v>
      </c>
      <c r="F43" s="5" t="s">
        <v>90</v>
      </c>
      <c r="G43" s="8" t="s">
        <v>23</v>
      </c>
      <c r="H43" s="5" t="s">
        <v>12</v>
      </c>
      <c r="I43" s="8" t="s">
        <v>25</v>
      </c>
      <c r="J43" s="9">
        <v>14</v>
      </c>
      <c r="K43" s="8" t="s">
        <v>42</v>
      </c>
      <c r="L43" t="s">
        <v>210</v>
      </c>
      <c r="M43" t="str">
        <f>VLOOKUP(E43,Price!$A$2:$C$9,3,)</f>
        <v>$39.00</v>
      </c>
      <c r="N43">
        <f t="shared" si="3"/>
        <v>1064</v>
      </c>
      <c r="O43">
        <f t="shared" si="4"/>
        <v>546</v>
      </c>
      <c r="P43">
        <f t="shared" si="5"/>
        <v>518</v>
      </c>
      <c r="Q43" s="20">
        <f>Table1[[#This Row],[Profit ]]/Table1[[#This Row],[Total Revenue]]</f>
        <v>0.48684210526315791</v>
      </c>
    </row>
    <row r="44" spans="1:17" ht="15.75" thickBot="1" x14ac:dyDescent="0.3">
      <c r="A44" s="11" t="s">
        <v>95</v>
      </c>
      <c r="B44" s="17" t="str">
        <f t="shared" si="0"/>
        <v>2026</v>
      </c>
      <c r="C44" s="17" t="str">
        <f t="shared" si="1"/>
        <v>17</v>
      </c>
      <c r="D44" s="17" t="str">
        <f t="shared" si="2"/>
        <v>Jul</v>
      </c>
      <c r="E44" s="5" t="s">
        <v>72</v>
      </c>
      <c r="F44" s="5" t="s">
        <v>90</v>
      </c>
      <c r="G44" s="5" t="s">
        <v>23</v>
      </c>
      <c r="H44" s="5" t="s">
        <v>52</v>
      </c>
      <c r="I44" s="5" t="s">
        <v>38</v>
      </c>
      <c r="J44" s="6">
        <v>13</v>
      </c>
      <c r="K44" s="5" t="s">
        <v>50</v>
      </c>
      <c r="L44" t="s">
        <v>214</v>
      </c>
      <c r="M44" t="str">
        <f>VLOOKUP(E44,Price!$A$2:$C$9,3,)</f>
        <v>$58.00</v>
      </c>
      <c r="N44">
        <f t="shared" si="3"/>
        <v>1365</v>
      </c>
      <c r="O44">
        <f t="shared" si="4"/>
        <v>754</v>
      </c>
      <c r="P44">
        <f t="shared" si="5"/>
        <v>611</v>
      </c>
      <c r="Q44" s="20">
        <f>Table1[[#This Row],[Profit ]]/Table1[[#This Row],[Total Revenue]]</f>
        <v>0.44761904761904764</v>
      </c>
    </row>
    <row r="45" spans="1:17" ht="15.75" thickBot="1" x14ac:dyDescent="0.3">
      <c r="A45" s="10" t="s">
        <v>96</v>
      </c>
      <c r="B45" s="16" t="str">
        <f t="shared" si="0"/>
        <v>2026</v>
      </c>
      <c r="C45" s="16" t="str">
        <f t="shared" si="1"/>
        <v>15</v>
      </c>
      <c r="D45" s="16" t="str">
        <f t="shared" si="2"/>
        <v>Apr</v>
      </c>
      <c r="E45" s="5" t="s">
        <v>97</v>
      </c>
      <c r="F45" s="5" t="s">
        <v>90</v>
      </c>
      <c r="G45" s="8" t="s">
        <v>11</v>
      </c>
      <c r="H45" s="5" t="s">
        <v>12</v>
      </c>
      <c r="I45" s="8" t="s">
        <v>64</v>
      </c>
      <c r="J45" s="9">
        <v>3</v>
      </c>
      <c r="K45" s="8" t="s">
        <v>19</v>
      </c>
      <c r="L45" t="s">
        <v>206</v>
      </c>
      <c r="M45" t="str">
        <f>VLOOKUP(E45,Price!$A$2:$C$9,3,)</f>
        <v>$28.00</v>
      </c>
      <c r="N45">
        <f t="shared" si="3"/>
        <v>162</v>
      </c>
      <c r="O45">
        <f t="shared" si="4"/>
        <v>84</v>
      </c>
      <c r="P45">
        <f t="shared" si="5"/>
        <v>78</v>
      </c>
      <c r="Q45" s="20">
        <f>Table1[[#This Row],[Profit ]]/Table1[[#This Row],[Total Revenue]]</f>
        <v>0.48148148148148145</v>
      </c>
    </row>
    <row r="46" spans="1:17" ht="15.75" thickBot="1" x14ac:dyDescent="0.3">
      <c r="A46" s="11" t="s">
        <v>98</v>
      </c>
      <c r="B46" s="17" t="str">
        <f t="shared" si="0"/>
        <v>2026</v>
      </c>
      <c r="C46" s="17" t="str">
        <f t="shared" si="1"/>
        <v>19</v>
      </c>
      <c r="D46" s="17" t="str">
        <f t="shared" si="2"/>
        <v>Apr</v>
      </c>
      <c r="E46" s="5" t="s">
        <v>80</v>
      </c>
      <c r="F46" s="5" t="s">
        <v>10</v>
      </c>
      <c r="G46" s="5" t="s">
        <v>23</v>
      </c>
      <c r="H46" s="5" t="s">
        <v>67</v>
      </c>
      <c r="I46" s="5" t="s">
        <v>33</v>
      </c>
      <c r="J46" s="6">
        <v>1</v>
      </c>
      <c r="K46" s="5" t="s">
        <v>14</v>
      </c>
      <c r="L46" t="s">
        <v>210</v>
      </c>
      <c r="M46" t="str">
        <f>VLOOKUP(E46,Price!$A$2:$C$9,3,)</f>
        <v>$39.00</v>
      </c>
      <c r="N46">
        <f t="shared" si="3"/>
        <v>76</v>
      </c>
      <c r="O46">
        <f t="shared" si="4"/>
        <v>39</v>
      </c>
      <c r="P46">
        <f t="shared" si="5"/>
        <v>37</v>
      </c>
      <c r="Q46" s="20">
        <f>Table1[[#This Row],[Profit ]]/Table1[[#This Row],[Total Revenue]]</f>
        <v>0.48684210526315791</v>
      </c>
    </row>
    <row r="47" spans="1:17" ht="15.75" thickBot="1" x14ac:dyDescent="0.3">
      <c r="A47" s="10" t="s">
        <v>99</v>
      </c>
      <c r="B47" s="16" t="str">
        <f t="shared" si="0"/>
        <v>2026</v>
      </c>
      <c r="C47" s="16" t="str">
        <f t="shared" si="1"/>
        <v>23</v>
      </c>
      <c r="D47" s="16" t="str">
        <f t="shared" si="2"/>
        <v>May</v>
      </c>
      <c r="E47" s="5" t="s">
        <v>140</v>
      </c>
      <c r="F47" s="5" t="s">
        <v>10</v>
      </c>
      <c r="G47" s="8" t="s">
        <v>11</v>
      </c>
      <c r="H47" s="5" t="s">
        <v>52</v>
      </c>
      <c r="I47" s="8" t="s">
        <v>56</v>
      </c>
      <c r="J47" s="9">
        <v>9</v>
      </c>
      <c r="K47" s="8" t="s">
        <v>50</v>
      </c>
      <c r="L47" t="s">
        <v>216</v>
      </c>
      <c r="M47" t="str">
        <f>VLOOKUP(E47,Price!$A$2:$C$9,3,)</f>
        <v>$64.00</v>
      </c>
      <c r="N47">
        <f t="shared" si="3"/>
        <v>1008</v>
      </c>
      <c r="O47">
        <f t="shared" si="4"/>
        <v>576</v>
      </c>
      <c r="P47">
        <f t="shared" si="5"/>
        <v>432</v>
      </c>
      <c r="Q47" s="20">
        <f>Table1[[#This Row],[Profit ]]/Table1[[#This Row],[Total Revenue]]</f>
        <v>0.42857142857142855</v>
      </c>
    </row>
    <row r="48" spans="1:17" ht="15.75" thickBot="1" x14ac:dyDescent="0.3">
      <c r="A48" s="11">
        <v>46089</v>
      </c>
      <c r="B48" s="17" t="str">
        <f t="shared" si="0"/>
        <v>6089</v>
      </c>
      <c r="C48" s="17" t="str">
        <f t="shared" si="1"/>
        <v>89</v>
      </c>
      <c r="D48" s="17" t="str">
        <f t="shared" si="2"/>
        <v>Dec</v>
      </c>
      <c r="E48" s="5" t="s">
        <v>80</v>
      </c>
      <c r="F48" s="5" t="s">
        <v>10</v>
      </c>
      <c r="G48" s="5" t="s">
        <v>23</v>
      </c>
      <c r="H48" s="5" t="s">
        <v>63</v>
      </c>
      <c r="I48" s="5" t="s">
        <v>86</v>
      </c>
      <c r="J48" s="6">
        <v>5</v>
      </c>
      <c r="K48" s="5" t="s">
        <v>50</v>
      </c>
      <c r="L48" t="s">
        <v>210</v>
      </c>
      <c r="M48" t="str">
        <f>VLOOKUP(E48,Price!$A$2:$C$9,3,)</f>
        <v>$39.00</v>
      </c>
      <c r="N48">
        <f t="shared" si="3"/>
        <v>380</v>
      </c>
      <c r="O48">
        <f t="shared" si="4"/>
        <v>195</v>
      </c>
      <c r="P48">
        <f t="shared" si="5"/>
        <v>185</v>
      </c>
      <c r="Q48" s="20">
        <f>Table1[[#This Row],[Profit ]]/Table1[[#This Row],[Total Revenue]]</f>
        <v>0.48684210526315791</v>
      </c>
    </row>
    <row r="49" spans="1:17" ht="15.75" thickBot="1" x14ac:dyDescent="0.3">
      <c r="A49" s="10">
        <v>46145</v>
      </c>
      <c r="B49" s="16" t="str">
        <f t="shared" si="0"/>
        <v>6145</v>
      </c>
      <c r="C49" s="16" t="str">
        <f t="shared" si="1"/>
        <v>45</v>
      </c>
      <c r="D49" s="16" t="str">
        <f t="shared" si="2"/>
        <v>Nov</v>
      </c>
      <c r="E49" s="5" t="s">
        <v>72</v>
      </c>
      <c r="F49" s="5" t="s">
        <v>62</v>
      </c>
      <c r="G49" s="8" t="s">
        <v>17</v>
      </c>
      <c r="H49" s="5" t="s">
        <v>12</v>
      </c>
      <c r="I49" s="8" t="s">
        <v>41</v>
      </c>
      <c r="J49" s="9">
        <v>11</v>
      </c>
      <c r="K49" s="8" t="s">
        <v>50</v>
      </c>
      <c r="L49" t="s">
        <v>214</v>
      </c>
      <c r="M49" t="str">
        <f>VLOOKUP(E49,Price!$A$2:$C$9,3,)</f>
        <v>$58.00</v>
      </c>
      <c r="N49">
        <f t="shared" si="3"/>
        <v>1155</v>
      </c>
      <c r="O49">
        <f t="shared" si="4"/>
        <v>638</v>
      </c>
      <c r="P49">
        <f t="shared" si="5"/>
        <v>517</v>
      </c>
      <c r="Q49" s="20">
        <f>Table1[[#This Row],[Profit ]]/Table1[[#This Row],[Total Revenue]]</f>
        <v>0.44761904761904764</v>
      </c>
    </row>
    <row r="50" spans="1:17" ht="15.75" thickBot="1" x14ac:dyDescent="0.3">
      <c r="A50" s="11" t="s">
        <v>100</v>
      </c>
      <c r="B50" s="17" t="str">
        <f t="shared" si="0"/>
        <v>2026</v>
      </c>
      <c r="C50" s="17" t="str">
        <f t="shared" si="1"/>
        <v>29</v>
      </c>
      <c r="D50" s="17" t="str">
        <f t="shared" si="2"/>
        <v>Mar</v>
      </c>
      <c r="E50" s="5" t="s">
        <v>97</v>
      </c>
      <c r="F50" s="5" t="s">
        <v>10</v>
      </c>
      <c r="G50" s="5" t="s">
        <v>17</v>
      </c>
      <c r="H50" s="5" t="s">
        <v>63</v>
      </c>
      <c r="I50" s="5" t="s">
        <v>41</v>
      </c>
      <c r="J50" s="6">
        <v>6</v>
      </c>
      <c r="K50" s="5" t="s">
        <v>19</v>
      </c>
      <c r="L50" t="s">
        <v>206</v>
      </c>
      <c r="M50" t="str">
        <f>VLOOKUP(E50,Price!$A$2:$C$9,3,)</f>
        <v>$28.00</v>
      </c>
      <c r="N50">
        <f t="shared" si="3"/>
        <v>324</v>
      </c>
      <c r="O50">
        <f t="shared" si="4"/>
        <v>168</v>
      </c>
      <c r="P50">
        <f t="shared" si="5"/>
        <v>156</v>
      </c>
      <c r="Q50" s="20">
        <f>Table1[[#This Row],[Profit ]]/Table1[[#This Row],[Total Revenue]]</f>
        <v>0.48148148148148145</v>
      </c>
    </row>
    <row r="51" spans="1:17" ht="15.75" thickBot="1" x14ac:dyDescent="0.3">
      <c r="A51" s="10" t="s">
        <v>102</v>
      </c>
      <c r="B51" s="16" t="str">
        <f t="shared" si="0"/>
        <v>2026</v>
      </c>
      <c r="C51" s="16" t="str">
        <f t="shared" si="1"/>
        <v>27</v>
      </c>
      <c r="D51" s="16" t="str">
        <f t="shared" si="2"/>
        <v>Jun</v>
      </c>
      <c r="E51" s="5" t="s">
        <v>80</v>
      </c>
      <c r="F51" s="5" t="s">
        <v>35</v>
      </c>
      <c r="G51" s="8" t="s">
        <v>36</v>
      </c>
      <c r="H51" s="5" t="s">
        <v>63</v>
      </c>
      <c r="I51" s="8" t="s">
        <v>103</v>
      </c>
      <c r="J51" s="9">
        <v>1</v>
      </c>
      <c r="K51" s="8" t="s">
        <v>50</v>
      </c>
      <c r="L51" t="s">
        <v>210</v>
      </c>
      <c r="M51" t="str">
        <f>VLOOKUP(E51,Price!$A$2:$C$9,3,)</f>
        <v>$39.00</v>
      </c>
      <c r="N51">
        <f t="shared" si="3"/>
        <v>76</v>
      </c>
      <c r="O51">
        <f t="shared" si="4"/>
        <v>39</v>
      </c>
      <c r="P51">
        <f t="shared" si="5"/>
        <v>37</v>
      </c>
      <c r="Q51" s="20">
        <f>Table1[[#This Row],[Profit ]]/Table1[[#This Row],[Total Revenue]]</f>
        <v>0.48684210526315791</v>
      </c>
    </row>
    <row r="52" spans="1:17" ht="15.75" thickBot="1" x14ac:dyDescent="0.3">
      <c r="A52" s="11">
        <v>46181</v>
      </c>
      <c r="B52" s="17" t="str">
        <f t="shared" si="0"/>
        <v>6181</v>
      </c>
      <c r="C52" s="17" t="str">
        <f t="shared" si="1"/>
        <v>81</v>
      </c>
      <c r="D52" s="17" t="str">
        <f t="shared" si="2"/>
        <v>Dec</v>
      </c>
      <c r="E52" s="5" t="s">
        <v>34</v>
      </c>
      <c r="F52" s="5" t="s">
        <v>62</v>
      </c>
      <c r="G52" s="5" t="s">
        <v>11</v>
      </c>
      <c r="H52" s="5" t="s">
        <v>52</v>
      </c>
      <c r="I52" s="5" t="s">
        <v>86</v>
      </c>
      <c r="J52" s="6">
        <v>4</v>
      </c>
      <c r="K52" s="5" t="s">
        <v>14</v>
      </c>
      <c r="L52" t="s">
        <v>212</v>
      </c>
      <c r="M52" t="str">
        <f>VLOOKUP(E52,Price!$A$2:$C$9,3,)</f>
        <v>$72.00</v>
      </c>
      <c r="N52">
        <f t="shared" si="3"/>
        <v>512</v>
      </c>
      <c r="O52">
        <f t="shared" si="4"/>
        <v>288</v>
      </c>
      <c r="P52">
        <f t="shared" si="5"/>
        <v>224</v>
      </c>
      <c r="Q52" s="20">
        <f>Table1[[#This Row],[Profit ]]/Table1[[#This Row],[Total Revenue]]</f>
        <v>0.4375</v>
      </c>
    </row>
    <row r="53" spans="1:17" ht="15.75" thickBot="1" x14ac:dyDescent="0.3">
      <c r="A53" s="10" t="s">
        <v>104</v>
      </c>
      <c r="B53" s="16" t="str">
        <f t="shared" si="0"/>
        <v>2026</v>
      </c>
      <c r="C53" s="16" t="str">
        <f t="shared" si="1"/>
        <v>29</v>
      </c>
      <c r="D53" s="16" t="str">
        <f t="shared" si="2"/>
        <v>Jan</v>
      </c>
      <c r="E53" s="5" t="s">
        <v>72</v>
      </c>
      <c r="F53" s="5" t="s">
        <v>35</v>
      </c>
      <c r="G53" s="8" t="s">
        <v>17</v>
      </c>
      <c r="H53" s="5" t="s">
        <v>52</v>
      </c>
      <c r="I53" s="8" t="s">
        <v>53</v>
      </c>
      <c r="J53" s="9">
        <v>5</v>
      </c>
      <c r="K53" s="8" t="s">
        <v>42</v>
      </c>
      <c r="L53" t="s">
        <v>214</v>
      </c>
      <c r="M53" t="str">
        <f>VLOOKUP(E53,Price!$A$2:$C$9,3,)</f>
        <v>$58.00</v>
      </c>
      <c r="N53">
        <f t="shared" si="3"/>
        <v>525</v>
      </c>
      <c r="O53">
        <f t="shared" si="4"/>
        <v>290</v>
      </c>
      <c r="P53">
        <f t="shared" si="5"/>
        <v>235</v>
      </c>
      <c r="Q53" s="20">
        <f>Table1[[#This Row],[Profit ]]/Table1[[#This Row],[Total Revenue]]</f>
        <v>0.44761904761904764</v>
      </c>
    </row>
    <row r="54" spans="1:17" ht="15.75" thickBot="1" x14ac:dyDescent="0.3">
      <c r="A54" s="11">
        <v>46145</v>
      </c>
      <c r="B54" s="17" t="str">
        <f t="shared" si="0"/>
        <v>6145</v>
      </c>
      <c r="C54" s="17" t="str">
        <f t="shared" si="1"/>
        <v>45</v>
      </c>
      <c r="D54" s="17" t="str">
        <f t="shared" si="2"/>
        <v>Nov</v>
      </c>
      <c r="E54" s="5" t="s">
        <v>74</v>
      </c>
      <c r="F54" s="5" t="s">
        <v>10</v>
      </c>
      <c r="G54" s="5" t="s">
        <v>17</v>
      </c>
      <c r="H54" s="5" t="s">
        <v>63</v>
      </c>
      <c r="I54" s="5" t="s">
        <v>13</v>
      </c>
      <c r="J54" s="6">
        <v>4</v>
      </c>
      <c r="K54" s="5" t="s">
        <v>19</v>
      </c>
      <c r="L54" t="s">
        <v>204</v>
      </c>
      <c r="M54" t="str">
        <f>VLOOKUP(E54,Price!$A$2:$C$9,3,)</f>
        <v>$47.00</v>
      </c>
      <c r="N54">
        <f t="shared" si="3"/>
        <v>356</v>
      </c>
      <c r="O54">
        <f t="shared" si="4"/>
        <v>188</v>
      </c>
      <c r="P54">
        <f t="shared" si="5"/>
        <v>168</v>
      </c>
      <c r="Q54" s="20">
        <f>Table1[[#This Row],[Profit ]]/Table1[[#This Row],[Total Revenue]]</f>
        <v>0.47191011235955055</v>
      </c>
    </row>
    <row r="55" spans="1:17" ht="15.75" thickBot="1" x14ac:dyDescent="0.3">
      <c r="A55" s="10" t="s">
        <v>105</v>
      </c>
      <c r="B55" s="16" t="str">
        <f t="shared" si="0"/>
        <v>2026</v>
      </c>
      <c r="C55" s="16" t="str">
        <f t="shared" si="1"/>
        <v>16</v>
      </c>
      <c r="D55" s="16" t="str">
        <f t="shared" si="2"/>
        <v>Feb</v>
      </c>
      <c r="E55" s="5" t="s">
        <v>140</v>
      </c>
      <c r="F55" s="5" t="s">
        <v>10</v>
      </c>
      <c r="G55" s="8" t="s">
        <v>17</v>
      </c>
      <c r="H55" s="5" t="s">
        <v>63</v>
      </c>
      <c r="I55" s="8" t="s">
        <v>25</v>
      </c>
      <c r="J55" s="9">
        <v>1</v>
      </c>
      <c r="K55" s="8" t="s">
        <v>50</v>
      </c>
      <c r="L55" t="s">
        <v>216</v>
      </c>
      <c r="M55" t="str">
        <f>VLOOKUP(E55,Price!$A$2:$C$9,3,)</f>
        <v>$64.00</v>
      </c>
      <c r="N55">
        <f t="shared" si="3"/>
        <v>112</v>
      </c>
      <c r="O55">
        <f t="shared" si="4"/>
        <v>64</v>
      </c>
      <c r="P55">
        <f t="shared" si="5"/>
        <v>48</v>
      </c>
      <c r="Q55" s="20">
        <f>Table1[[#This Row],[Profit ]]/Table1[[#This Row],[Total Revenue]]</f>
        <v>0.42857142857142855</v>
      </c>
    </row>
    <row r="56" spans="1:17" ht="15.75" thickBot="1" x14ac:dyDescent="0.3">
      <c r="A56" s="11" t="s">
        <v>106</v>
      </c>
      <c r="B56" s="17" t="str">
        <f t="shared" si="0"/>
        <v>2026</v>
      </c>
      <c r="C56" s="17" t="str">
        <f t="shared" si="1"/>
        <v>28</v>
      </c>
      <c r="D56" s="17" t="str">
        <f t="shared" si="2"/>
        <v>Mar</v>
      </c>
      <c r="E56" s="5" t="s">
        <v>34</v>
      </c>
      <c r="F56" s="5" t="s">
        <v>10</v>
      </c>
      <c r="G56" s="5" t="s">
        <v>11</v>
      </c>
      <c r="H56" s="5" t="s">
        <v>12</v>
      </c>
      <c r="I56" s="5" t="s">
        <v>73</v>
      </c>
      <c r="J56" s="6">
        <v>4</v>
      </c>
      <c r="K56" s="5" t="s">
        <v>14</v>
      </c>
      <c r="L56" t="s">
        <v>212</v>
      </c>
      <c r="M56" t="str">
        <f>VLOOKUP(E56,Price!$A$2:$C$9,3,)</f>
        <v>$72.00</v>
      </c>
      <c r="N56">
        <f t="shared" si="3"/>
        <v>512</v>
      </c>
      <c r="O56">
        <f t="shared" si="4"/>
        <v>288</v>
      </c>
      <c r="P56">
        <f t="shared" si="5"/>
        <v>224</v>
      </c>
      <c r="Q56" s="20">
        <f>Table1[[#This Row],[Profit ]]/Table1[[#This Row],[Total Revenue]]</f>
        <v>0.4375</v>
      </c>
    </row>
    <row r="57" spans="1:17" ht="15.75" thickBot="1" x14ac:dyDescent="0.3">
      <c r="A57" s="10">
        <v>46057</v>
      </c>
      <c r="B57" s="16" t="str">
        <f t="shared" si="0"/>
        <v>6057</v>
      </c>
      <c r="C57" s="16" t="str">
        <f t="shared" si="1"/>
        <v>57</v>
      </c>
      <c r="D57" s="16" t="str">
        <f t="shared" si="2"/>
        <v>Nov</v>
      </c>
      <c r="E57" s="5" t="s">
        <v>74</v>
      </c>
      <c r="F57" s="5" t="s">
        <v>62</v>
      </c>
      <c r="G57" s="8" t="s">
        <v>17</v>
      </c>
      <c r="H57" s="5" t="s">
        <v>52</v>
      </c>
      <c r="I57" s="8" t="s">
        <v>28</v>
      </c>
      <c r="J57" s="9">
        <v>5</v>
      </c>
      <c r="K57" s="8" t="s">
        <v>19</v>
      </c>
      <c r="L57" t="s">
        <v>204</v>
      </c>
      <c r="M57" t="str">
        <f>VLOOKUP(E57,Price!$A$2:$C$9,3,)</f>
        <v>$47.00</v>
      </c>
      <c r="N57">
        <f t="shared" si="3"/>
        <v>445</v>
      </c>
      <c r="O57">
        <f t="shared" si="4"/>
        <v>235</v>
      </c>
      <c r="P57">
        <f t="shared" si="5"/>
        <v>210</v>
      </c>
      <c r="Q57" s="20">
        <f>Table1[[#This Row],[Profit ]]/Table1[[#This Row],[Total Revenue]]</f>
        <v>0.47191011235955055</v>
      </c>
    </row>
    <row r="58" spans="1:17" ht="15.75" thickBot="1" x14ac:dyDescent="0.3">
      <c r="A58" s="11">
        <v>46059</v>
      </c>
      <c r="B58" s="17" t="str">
        <f t="shared" si="0"/>
        <v>6059</v>
      </c>
      <c r="C58" s="17" t="str">
        <f t="shared" si="1"/>
        <v>59</v>
      </c>
      <c r="D58" s="17" t="str">
        <f t="shared" si="2"/>
        <v>Nov</v>
      </c>
      <c r="E58" s="5" t="s">
        <v>34</v>
      </c>
      <c r="F58" s="5" t="s">
        <v>90</v>
      </c>
      <c r="G58" s="5" t="s">
        <v>17</v>
      </c>
      <c r="H58" s="5" t="s">
        <v>67</v>
      </c>
      <c r="I58" s="5" t="s">
        <v>49</v>
      </c>
      <c r="J58" s="6">
        <v>2</v>
      </c>
      <c r="K58" s="5" t="s">
        <v>42</v>
      </c>
      <c r="L58" t="s">
        <v>212</v>
      </c>
      <c r="M58" t="str">
        <f>VLOOKUP(E58,Price!$A$2:$C$9,3,)</f>
        <v>$72.00</v>
      </c>
      <c r="N58">
        <f t="shared" si="3"/>
        <v>256</v>
      </c>
      <c r="O58">
        <f t="shared" si="4"/>
        <v>144</v>
      </c>
      <c r="P58">
        <f t="shared" si="5"/>
        <v>112</v>
      </c>
      <c r="Q58" s="20">
        <f>Table1[[#This Row],[Profit ]]/Table1[[#This Row],[Total Revenue]]</f>
        <v>0.4375</v>
      </c>
    </row>
    <row r="59" spans="1:17" ht="15.75" thickBot="1" x14ac:dyDescent="0.3">
      <c r="A59" s="10" t="s">
        <v>108</v>
      </c>
      <c r="B59" s="16" t="str">
        <f t="shared" si="0"/>
        <v>2026</v>
      </c>
      <c r="C59" s="16" t="str">
        <f t="shared" si="1"/>
        <v>23</v>
      </c>
      <c r="D59" s="16" t="str">
        <f t="shared" si="2"/>
        <v>Jan</v>
      </c>
      <c r="E59" s="5" t="s">
        <v>118</v>
      </c>
      <c r="F59" s="5" t="s">
        <v>10</v>
      </c>
      <c r="G59" s="8" t="s">
        <v>11</v>
      </c>
      <c r="H59" s="5" t="s">
        <v>12</v>
      </c>
      <c r="I59" s="8" t="s">
        <v>25</v>
      </c>
      <c r="J59" s="9">
        <v>1</v>
      </c>
      <c r="K59" s="8" t="s">
        <v>14</v>
      </c>
      <c r="L59" t="s">
        <v>218</v>
      </c>
      <c r="M59" t="str">
        <f>VLOOKUP(E59,Price!$A$2:$C$9,3,)</f>
        <v>$67.00</v>
      </c>
      <c r="N59">
        <f t="shared" si="3"/>
        <v>119</v>
      </c>
      <c r="O59">
        <f t="shared" si="4"/>
        <v>67</v>
      </c>
      <c r="P59">
        <f t="shared" si="5"/>
        <v>52</v>
      </c>
      <c r="Q59" s="20">
        <f>Table1[[#This Row],[Profit ]]/Table1[[#This Row],[Total Revenue]]</f>
        <v>0.43697478991596639</v>
      </c>
    </row>
    <row r="60" spans="1:17" ht="15.75" thickBot="1" x14ac:dyDescent="0.3">
      <c r="A60" s="11" t="s">
        <v>109</v>
      </c>
      <c r="B60" s="17" t="str">
        <f t="shared" si="0"/>
        <v>2026</v>
      </c>
      <c r="C60" s="17" t="str">
        <f t="shared" si="1"/>
        <v>27</v>
      </c>
      <c r="D60" s="17" t="str">
        <f t="shared" si="2"/>
        <v>Jul</v>
      </c>
      <c r="E60" s="5" t="s">
        <v>140</v>
      </c>
      <c r="F60" s="5" t="s">
        <v>62</v>
      </c>
      <c r="G60" s="5" t="s">
        <v>23</v>
      </c>
      <c r="H60" s="5" t="s">
        <v>12</v>
      </c>
      <c r="I60" s="5" t="s">
        <v>13</v>
      </c>
      <c r="J60" s="6">
        <v>15</v>
      </c>
      <c r="K60" s="5" t="s">
        <v>14</v>
      </c>
      <c r="L60" t="s">
        <v>216</v>
      </c>
      <c r="M60" t="str">
        <f>VLOOKUP(E60,Price!$A$2:$C$9,3,)</f>
        <v>$64.00</v>
      </c>
      <c r="N60">
        <f t="shared" si="3"/>
        <v>1680</v>
      </c>
      <c r="O60">
        <f t="shared" si="4"/>
        <v>960</v>
      </c>
      <c r="P60">
        <f t="shared" si="5"/>
        <v>720</v>
      </c>
      <c r="Q60" s="20">
        <f>Table1[[#This Row],[Profit ]]/Table1[[#This Row],[Total Revenue]]</f>
        <v>0.42857142857142855</v>
      </c>
    </row>
    <row r="61" spans="1:17" ht="15.75" thickBot="1" x14ac:dyDescent="0.3">
      <c r="A61" s="10" t="s">
        <v>110</v>
      </c>
      <c r="B61" s="16" t="str">
        <f t="shared" si="0"/>
        <v>2026</v>
      </c>
      <c r="C61" s="16" t="str">
        <f t="shared" si="1"/>
        <v>23</v>
      </c>
      <c r="D61" s="16" t="str">
        <f t="shared" si="2"/>
        <v>Jun</v>
      </c>
      <c r="E61" s="5" t="s">
        <v>80</v>
      </c>
      <c r="F61" s="5" t="s">
        <v>10</v>
      </c>
      <c r="G61" s="8" t="s">
        <v>23</v>
      </c>
      <c r="H61" s="5" t="s">
        <v>67</v>
      </c>
      <c r="I61" s="8" t="s">
        <v>33</v>
      </c>
      <c r="J61" s="9">
        <v>11</v>
      </c>
      <c r="K61" s="8" t="s">
        <v>50</v>
      </c>
      <c r="L61" t="s">
        <v>210</v>
      </c>
      <c r="M61" t="str">
        <f>VLOOKUP(E61,Price!$A$2:$C$9,3,)</f>
        <v>$39.00</v>
      </c>
      <c r="N61">
        <f t="shared" si="3"/>
        <v>836</v>
      </c>
      <c r="O61">
        <f t="shared" si="4"/>
        <v>429</v>
      </c>
      <c r="P61">
        <f t="shared" si="5"/>
        <v>407</v>
      </c>
      <c r="Q61" s="20">
        <f>Table1[[#This Row],[Profit ]]/Table1[[#This Row],[Total Revenue]]</f>
        <v>0.48684210526315791</v>
      </c>
    </row>
    <row r="62" spans="1:17" ht="15.75" thickBot="1" x14ac:dyDescent="0.3">
      <c r="A62" s="11">
        <v>46269</v>
      </c>
      <c r="B62" s="17" t="str">
        <f t="shared" si="0"/>
        <v>6269</v>
      </c>
      <c r="C62" s="17" t="str">
        <f t="shared" si="1"/>
        <v>69</v>
      </c>
      <c r="D62" s="17" t="str">
        <f t="shared" si="2"/>
        <v>Dec</v>
      </c>
      <c r="E62" s="5" t="s">
        <v>72</v>
      </c>
      <c r="F62" s="5" t="s">
        <v>35</v>
      </c>
      <c r="G62" s="5" t="s">
        <v>11</v>
      </c>
      <c r="H62" s="5" t="s">
        <v>52</v>
      </c>
      <c r="I62" s="5" t="s">
        <v>38</v>
      </c>
      <c r="J62" s="6">
        <v>10</v>
      </c>
      <c r="K62" s="5" t="s">
        <v>19</v>
      </c>
      <c r="L62" t="s">
        <v>214</v>
      </c>
      <c r="M62" t="str">
        <f>VLOOKUP(E62,Price!$A$2:$C$9,3,)</f>
        <v>$58.00</v>
      </c>
      <c r="N62">
        <f t="shared" si="3"/>
        <v>1050</v>
      </c>
      <c r="O62">
        <f t="shared" si="4"/>
        <v>580</v>
      </c>
      <c r="P62">
        <f t="shared" si="5"/>
        <v>470</v>
      </c>
      <c r="Q62" s="20">
        <f>Table1[[#This Row],[Profit ]]/Table1[[#This Row],[Total Revenue]]</f>
        <v>0.44761904761904764</v>
      </c>
    </row>
    <row r="63" spans="1:17" ht="15.75" thickBot="1" x14ac:dyDescent="0.3">
      <c r="A63" s="10" t="s">
        <v>112</v>
      </c>
      <c r="B63" s="16" t="str">
        <f t="shared" si="0"/>
        <v>2026</v>
      </c>
      <c r="C63" s="16" t="str">
        <f t="shared" si="1"/>
        <v>21</v>
      </c>
      <c r="D63" s="16" t="str">
        <f t="shared" si="2"/>
        <v>Jun</v>
      </c>
      <c r="E63" s="5" t="s">
        <v>34</v>
      </c>
      <c r="F63" s="5" t="s">
        <v>10</v>
      </c>
      <c r="G63" s="8" t="s">
        <v>43</v>
      </c>
      <c r="H63" s="5" t="s">
        <v>67</v>
      </c>
      <c r="I63" s="8" t="s">
        <v>28</v>
      </c>
      <c r="J63" s="9">
        <v>9</v>
      </c>
      <c r="K63" s="8" t="s">
        <v>19</v>
      </c>
      <c r="L63" t="s">
        <v>212</v>
      </c>
      <c r="M63" t="str">
        <f>VLOOKUP(E63,Price!$A$2:$C$9,3,)</f>
        <v>$72.00</v>
      </c>
      <c r="N63">
        <f t="shared" si="3"/>
        <v>1152</v>
      </c>
      <c r="O63">
        <f t="shared" si="4"/>
        <v>648</v>
      </c>
      <c r="P63">
        <f t="shared" si="5"/>
        <v>504</v>
      </c>
      <c r="Q63" s="20">
        <f>Table1[[#This Row],[Profit ]]/Table1[[#This Row],[Total Revenue]]</f>
        <v>0.4375</v>
      </c>
    </row>
    <row r="64" spans="1:17" ht="15.75" thickBot="1" x14ac:dyDescent="0.3">
      <c r="A64" s="11" t="s">
        <v>113</v>
      </c>
      <c r="B64" s="17" t="str">
        <f t="shared" si="0"/>
        <v>2026</v>
      </c>
      <c r="C64" s="17" t="str">
        <f t="shared" si="1"/>
        <v>28</v>
      </c>
      <c r="D64" s="17" t="str">
        <f t="shared" si="2"/>
        <v>Feb</v>
      </c>
      <c r="E64" s="5" t="s">
        <v>97</v>
      </c>
      <c r="F64" s="5" t="s">
        <v>10</v>
      </c>
      <c r="G64" s="5" t="s">
        <v>36</v>
      </c>
      <c r="H64" s="5" t="s">
        <v>12</v>
      </c>
      <c r="I64" s="5" t="s">
        <v>13</v>
      </c>
      <c r="J64" s="6">
        <v>1</v>
      </c>
      <c r="K64" s="5" t="s">
        <v>14</v>
      </c>
      <c r="L64" t="s">
        <v>206</v>
      </c>
      <c r="M64" t="str">
        <f>VLOOKUP(E64,Price!$A$2:$C$9,3,)</f>
        <v>$28.00</v>
      </c>
      <c r="N64">
        <f t="shared" si="3"/>
        <v>54</v>
      </c>
      <c r="O64">
        <f t="shared" si="4"/>
        <v>28</v>
      </c>
      <c r="P64">
        <f t="shared" si="5"/>
        <v>26</v>
      </c>
      <c r="Q64" s="20">
        <f>Table1[[#This Row],[Profit ]]/Table1[[#This Row],[Total Revenue]]</f>
        <v>0.48148148148148145</v>
      </c>
    </row>
    <row r="65" spans="1:17" ht="15.75" thickBot="1" x14ac:dyDescent="0.3">
      <c r="A65" s="10" t="s">
        <v>114</v>
      </c>
      <c r="B65" s="16" t="str">
        <f t="shared" si="0"/>
        <v>2026</v>
      </c>
      <c r="C65" s="16" t="str">
        <f t="shared" si="1"/>
        <v>24</v>
      </c>
      <c r="D65" s="16" t="str">
        <f t="shared" si="2"/>
        <v>Jun</v>
      </c>
      <c r="E65" s="5" t="s">
        <v>72</v>
      </c>
      <c r="F65" s="5" t="s">
        <v>10</v>
      </c>
      <c r="G65" s="8" t="s">
        <v>23</v>
      </c>
      <c r="H65" s="5" t="s">
        <v>63</v>
      </c>
      <c r="I65" s="8" t="s">
        <v>49</v>
      </c>
      <c r="J65" s="9">
        <v>8</v>
      </c>
      <c r="K65" s="8" t="s">
        <v>14</v>
      </c>
      <c r="L65" t="s">
        <v>214</v>
      </c>
      <c r="M65" t="str">
        <f>VLOOKUP(E65,Price!$A$2:$C$9,3,)</f>
        <v>$58.00</v>
      </c>
      <c r="N65">
        <f t="shared" si="3"/>
        <v>840</v>
      </c>
      <c r="O65">
        <f t="shared" si="4"/>
        <v>464</v>
      </c>
      <c r="P65">
        <f t="shared" si="5"/>
        <v>376</v>
      </c>
      <c r="Q65" s="20">
        <f>Table1[[#This Row],[Profit ]]/Table1[[#This Row],[Total Revenue]]</f>
        <v>0.44761904761904764</v>
      </c>
    </row>
    <row r="66" spans="1:17" ht="15.75" thickBot="1" x14ac:dyDescent="0.3">
      <c r="A66" s="11" t="s">
        <v>71</v>
      </c>
      <c r="B66" s="17" t="str">
        <f t="shared" ref="B66:B129" si="6">RIGHT(TRIM(A66), 4)</f>
        <v>2026</v>
      </c>
      <c r="C66" s="17" t="str">
        <f t="shared" ref="C66:C129" si="7">MID(TRIM(A66), 4, 2)</f>
        <v>31</v>
      </c>
      <c r="D66" s="17" t="str">
        <f t="shared" ref="D66:D129" si="8">TEXT(DATE(RIGHT(TRIM(A66), 4), LEFT(TRIM(A66), 2), MID(TRIM(A66), 4, 2)), "mmm")</f>
        <v>Mar</v>
      </c>
      <c r="E66" s="5" t="s">
        <v>72</v>
      </c>
      <c r="F66" s="5" t="s">
        <v>62</v>
      </c>
      <c r="G66" s="5" t="s">
        <v>23</v>
      </c>
      <c r="H66" s="5" t="s">
        <v>67</v>
      </c>
      <c r="I66" s="5" t="s">
        <v>56</v>
      </c>
      <c r="J66" s="6">
        <v>5</v>
      </c>
      <c r="K66" s="5" t="s">
        <v>14</v>
      </c>
      <c r="L66" t="s">
        <v>214</v>
      </c>
      <c r="M66" t="str">
        <f>VLOOKUP(E66,Price!$A$2:$C$9,3,)</f>
        <v>$58.00</v>
      </c>
      <c r="N66">
        <f t="shared" si="3"/>
        <v>525</v>
      </c>
      <c r="O66">
        <f t="shared" si="4"/>
        <v>290</v>
      </c>
      <c r="P66">
        <f t="shared" si="5"/>
        <v>235</v>
      </c>
      <c r="Q66" s="20">
        <f>Table1[[#This Row],[Profit ]]/Table1[[#This Row],[Total Revenue]]</f>
        <v>0.44761904761904764</v>
      </c>
    </row>
    <row r="67" spans="1:17" ht="15.75" thickBot="1" x14ac:dyDescent="0.3">
      <c r="A67" s="10">
        <v>46360</v>
      </c>
      <c r="B67" s="16" t="str">
        <f t="shared" si="6"/>
        <v>6360</v>
      </c>
      <c r="C67" s="16" t="str">
        <f t="shared" si="7"/>
        <v>60</v>
      </c>
      <c r="D67" s="16" t="str">
        <f t="shared" si="8"/>
        <v>Nov</v>
      </c>
      <c r="E67" s="5" t="s">
        <v>21</v>
      </c>
      <c r="F67" s="5" t="s">
        <v>62</v>
      </c>
      <c r="G67" s="8" t="s">
        <v>17</v>
      </c>
      <c r="H67" s="5" t="s">
        <v>138</v>
      </c>
      <c r="I67" s="8" t="s">
        <v>25</v>
      </c>
      <c r="J67" s="9">
        <v>14</v>
      </c>
      <c r="K67" s="8" t="s">
        <v>19</v>
      </c>
      <c r="L67" t="s">
        <v>208</v>
      </c>
      <c r="M67" t="str">
        <f>VLOOKUP(E67,Price!$A$2:$C$9,3,)</f>
        <v>$14.00</v>
      </c>
      <c r="N67">
        <f t="shared" ref="N67:N130" si="9">J67 * VALUE(SUBSTITUTE(L67,"$",""))</f>
        <v>448</v>
      </c>
      <c r="O67">
        <f t="shared" ref="O67:O130" si="10">J67*VALUE(SUBSTITUTE(M67,"$",""))</f>
        <v>196</v>
      </c>
      <c r="P67">
        <f t="shared" ref="P67:P130" si="11">N67-O67</f>
        <v>252</v>
      </c>
      <c r="Q67" s="20">
        <f>Table1[[#This Row],[Profit ]]/Table1[[#This Row],[Total Revenue]]</f>
        <v>0.5625</v>
      </c>
    </row>
    <row r="68" spans="1:17" ht="15.75" thickBot="1" x14ac:dyDescent="0.3">
      <c r="A68" s="11" t="s">
        <v>8</v>
      </c>
      <c r="B68" s="17" t="str">
        <f t="shared" si="6"/>
        <v>2026</v>
      </c>
      <c r="C68" s="17" t="str">
        <f t="shared" si="7"/>
        <v>19</v>
      </c>
      <c r="D68" s="17" t="str">
        <f t="shared" si="8"/>
        <v>May</v>
      </c>
      <c r="E68" s="5" t="s">
        <v>74</v>
      </c>
      <c r="F68" s="5" t="s">
        <v>90</v>
      </c>
      <c r="G68" s="5" t="s">
        <v>43</v>
      </c>
      <c r="H68" s="5" t="s">
        <v>52</v>
      </c>
      <c r="I68" s="5" t="s">
        <v>33</v>
      </c>
      <c r="J68" s="6">
        <v>14</v>
      </c>
      <c r="K68" s="5" t="s">
        <v>50</v>
      </c>
      <c r="L68" t="s">
        <v>204</v>
      </c>
      <c r="M68" t="str">
        <f>VLOOKUP(E68,Price!$A$2:$C$9,3,)</f>
        <v>$47.00</v>
      </c>
      <c r="N68">
        <f t="shared" si="9"/>
        <v>1246</v>
      </c>
      <c r="O68">
        <f t="shared" si="10"/>
        <v>658</v>
      </c>
      <c r="P68">
        <f t="shared" si="11"/>
        <v>588</v>
      </c>
      <c r="Q68" s="20">
        <f>Table1[[#This Row],[Profit ]]/Table1[[#This Row],[Total Revenue]]</f>
        <v>0.47191011235955055</v>
      </c>
    </row>
    <row r="69" spans="1:17" ht="15.75" thickBot="1" x14ac:dyDescent="0.3">
      <c r="A69" s="10">
        <v>46174</v>
      </c>
      <c r="B69" s="16" t="str">
        <f t="shared" si="6"/>
        <v>6174</v>
      </c>
      <c r="C69" s="16" t="str">
        <f t="shared" si="7"/>
        <v>74</v>
      </c>
      <c r="D69" s="16" t="str">
        <f t="shared" si="8"/>
        <v>Dec</v>
      </c>
      <c r="E69" s="5" t="s">
        <v>140</v>
      </c>
      <c r="F69" s="5" t="s">
        <v>10</v>
      </c>
      <c r="G69" s="8" t="s">
        <v>17</v>
      </c>
      <c r="H69" s="5" t="s">
        <v>52</v>
      </c>
      <c r="I69" s="8" t="s">
        <v>73</v>
      </c>
      <c r="J69" s="9">
        <v>8</v>
      </c>
      <c r="K69" s="8" t="s">
        <v>50</v>
      </c>
      <c r="L69" t="s">
        <v>216</v>
      </c>
      <c r="M69" t="str">
        <f>VLOOKUP(E69,Price!$A$2:$C$9,3,)</f>
        <v>$64.00</v>
      </c>
      <c r="N69">
        <f t="shared" si="9"/>
        <v>896</v>
      </c>
      <c r="O69">
        <f t="shared" si="10"/>
        <v>512</v>
      </c>
      <c r="P69">
        <f t="shared" si="11"/>
        <v>384</v>
      </c>
      <c r="Q69" s="20">
        <f>Table1[[#This Row],[Profit ]]/Table1[[#This Row],[Total Revenue]]</f>
        <v>0.42857142857142855</v>
      </c>
    </row>
    <row r="70" spans="1:17" ht="15.75" thickBot="1" x14ac:dyDescent="0.3">
      <c r="A70" s="11">
        <v>46179</v>
      </c>
      <c r="B70" s="17" t="str">
        <f t="shared" si="6"/>
        <v>6179</v>
      </c>
      <c r="C70" s="17" t="str">
        <f t="shared" si="7"/>
        <v>79</v>
      </c>
      <c r="D70" s="17" t="str">
        <f t="shared" si="8"/>
        <v>Dec</v>
      </c>
      <c r="E70" s="5" t="s">
        <v>97</v>
      </c>
      <c r="F70" s="5" t="s">
        <v>10</v>
      </c>
      <c r="G70" s="5" t="s">
        <v>17</v>
      </c>
      <c r="H70" s="5" t="s">
        <v>52</v>
      </c>
      <c r="I70" s="5" t="s">
        <v>64</v>
      </c>
      <c r="J70" s="6">
        <v>7</v>
      </c>
      <c r="K70" s="5" t="s">
        <v>14</v>
      </c>
      <c r="L70" t="s">
        <v>206</v>
      </c>
      <c r="M70" t="str">
        <f>VLOOKUP(E70,Price!$A$2:$C$9,3,)</f>
        <v>$28.00</v>
      </c>
      <c r="N70">
        <f t="shared" si="9"/>
        <v>378</v>
      </c>
      <c r="O70">
        <f t="shared" si="10"/>
        <v>196</v>
      </c>
      <c r="P70">
        <f t="shared" si="11"/>
        <v>182</v>
      </c>
      <c r="Q70" s="20">
        <f>Table1[[#This Row],[Profit ]]/Table1[[#This Row],[Total Revenue]]</f>
        <v>0.48148148148148145</v>
      </c>
    </row>
    <row r="71" spans="1:17" ht="15.75" thickBot="1" x14ac:dyDescent="0.3">
      <c r="A71" s="10">
        <v>46271</v>
      </c>
      <c r="B71" s="16" t="str">
        <f t="shared" si="6"/>
        <v>6271</v>
      </c>
      <c r="C71" s="16" t="str">
        <f t="shared" si="7"/>
        <v>71</v>
      </c>
      <c r="D71" s="16" t="str">
        <f t="shared" si="8"/>
        <v>Dec</v>
      </c>
      <c r="E71" s="5" t="s">
        <v>140</v>
      </c>
      <c r="F71" s="5" t="s">
        <v>90</v>
      </c>
      <c r="G71" s="8" t="s">
        <v>23</v>
      </c>
      <c r="H71" s="5" t="s">
        <v>52</v>
      </c>
      <c r="I71" s="8" t="s">
        <v>64</v>
      </c>
      <c r="J71" s="9">
        <v>7</v>
      </c>
      <c r="K71" s="8" t="s">
        <v>50</v>
      </c>
      <c r="L71" t="s">
        <v>216</v>
      </c>
      <c r="M71" t="str">
        <f>VLOOKUP(E71,Price!$A$2:$C$9,3,)</f>
        <v>$64.00</v>
      </c>
      <c r="N71">
        <f t="shared" si="9"/>
        <v>784</v>
      </c>
      <c r="O71">
        <f t="shared" si="10"/>
        <v>448</v>
      </c>
      <c r="P71">
        <f t="shared" si="11"/>
        <v>336</v>
      </c>
      <c r="Q71" s="20">
        <f>Table1[[#This Row],[Profit ]]/Table1[[#This Row],[Total Revenue]]</f>
        <v>0.42857142857142855</v>
      </c>
    </row>
    <row r="72" spans="1:17" ht="15.75" thickBot="1" x14ac:dyDescent="0.3">
      <c r="A72" s="11">
        <v>46115</v>
      </c>
      <c r="B72" s="17" t="str">
        <f t="shared" si="6"/>
        <v>6115</v>
      </c>
      <c r="C72" s="17" t="str">
        <f t="shared" si="7"/>
        <v>15</v>
      </c>
      <c r="D72" s="17" t="str">
        <f t="shared" si="8"/>
        <v>Oct</v>
      </c>
      <c r="E72" s="5" t="s">
        <v>74</v>
      </c>
      <c r="F72" s="5" t="s">
        <v>10</v>
      </c>
      <c r="G72" s="5" t="s">
        <v>23</v>
      </c>
      <c r="H72" s="5" t="s">
        <v>138</v>
      </c>
      <c r="I72" s="5" t="s">
        <v>38</v>
      </c>
      <c r="J72" s="6">
        <v>8</v>
      </c>
      <c r="K72" s="5" t="s">
        <v>42</v>
      </c>
      <c r="L72" t="s">
        <v>204</v>
      </c>
      <c r="M72" t="str">
        <f>VLOOKUP(E72,Price!$A$2:$C$9,3,)</f>
        <v>$47.00</v>
      </c>
      <c r="N72">
        <f t="shared" si="9"/>
        <v>712</v>
      </c>
      <c r="O72">
        <f t="shared" si="10"/>
        <v>376</v>
      </c>
      <c r="P72">
        <f t="shared" si="11"/>
        <v>336</v>
      </c>
      <c r="Q72" s="20">
        <f>Table1[[#This Row],[Profit ]]/Table1[[#This Row],[Total Revenue]]</f>
        <v>0.47191011235955055</v>
      </c>
    </row>
    <row r="73" spans="1:17" ht="15.75" thickBot="1" x14ac:dyDescent="0.3">
      <c r="A73" s="10">
        <v>46302</v>
      </c>
      <c r="B73" s="16" t="str">
        <f t="shared" si="6"/>
        <v>6302</v>
      </c>
      <c r="C73" s="16" t="str">
        <f t="shared" si="7"/>
        <v>02</v>
      </c>
      <c r="D73" s="16" t="str">
        <f t="shared" si="8"/>
        <v>Oct</v>
      </c>
      <c r="E73" s="5" t="s">
        <v>21</v>
      </c>
      <c r="F73" s="5" t="s">
        <v>62</v>
      </c>
      <c r="G73" s="8" t="s">
        <v>23</v>
      </c>
      <c r="H73" s="5" t="s">
        <v>52</v>
      </c>
      <c r="I73" s="8" t="s">
        <v>33</v>
      </c>
      <c r="J73" s="9">
        <v>9</v>
      </c>
      <c r="K73" s="8" t="s">
        <v>50</v>
      </c>
      <c r="L73" t="s">
        <v>208</v>
      </c>
      <c r="M73" t="str">
        <f>VLOOKUP(E73,Price!$A$2:$C$9,3,)</f>
        <v>$14.00</v>
      </c>
      <c r="N73">
        <f t="shared" si="9"/>
        <v>288</v>
      </c>
      <c r="O73">
        <f t="shared" si="10"/>
        <v>126</v>
      </c>
      <c r="P73">
        <f t="shared" si="11"/>
        <v>162</v>
      </c>
      <c r="Q73" s="20">
        <f>Table1[[#This Row],[Profit ]]/Table1[[#This Row],[Total Revenue]]</f>
        <v>0.5625</v>
      </c>
    </row>
    <row r="74" spans="1:17" ht="15.75" thickBot="1" x14ac:dyDescent="0.3">
      <c r="A74" s="11">
        <v>46237</v>
      </c>
      <c r="B74" s="17" t="str">
        <f t="shared" si="6"/>
        <v>6237</v>
      </c>
      <c r="C74" s="17" t="str">
        <f t="shared" si="7"/>
        <v>37</v>
      </c>
      <c r="D74" s="17" t="str">
        <f t="shared" si="8"/>
        <v>Nov</v>
      </c>
      <c r="E74" s="5" t="s">
        <v>80</v>
      </c>
      <c r="F74" s="5" t="s">
        <v>10</v>
      </c>
      <c r="G74" s="5" t="s">
        <v>43</v>
      </c>
      <c r="H74" s="5" t="s">
        <v>63</v>
      </c>
      <c r="I74" s="5" t="s">
        <v>33</v>
      </c>
      <c r="J74" s="6">
        <v>5</v>
      </c>
      <c r="K74" s="5" t="s">
        <v>19</v>
      </c>
      <c r="L74" t="s">
        <v>210</v>
      </c>
      <c r="M74" t="str">
        <f>VLOOKUP(E74,Price!$A$2:$C$9,3,)</f>
        <v>$39.00</v>
      </c>
      <c r="N74">
        <f t="shared" si="9"/>
        <v>380</v>
      </c>
      <c r="O74">
        <f t="shared" si="10"/>
        <v>195</v>
      </c>
      <c r="P74">
        <f t="shared" si="11"/>
        <v>185</v>
      </c>
      <c r="Q74" s="20">
        <f>Table1[[#This Row],[Profit ]]/Table1[[#This Row],[Total Revenue]]</f>
        <v>0.48684210526315791</v>
      </c>
    </row>
    <row r="75" spans="1:17" ht="15.75" thickBot="1" x14ac:dyDescent="0.3">
      <c r="A75" s="10">
        <v>46028</v>
      </c>
      <c r="B75" s="16" t="str">
        <f t="shared" si="6"/>
        <v>6028</v>
      </c>
      <c r="C75" s="16" t="str">
        <f t="shared" si="7"/>
        <v>28</v>
      </c>
      <c r="D75" s="16" t="str">
        <f t="shared" si="8"/>
        <v>Oct</v>
      </c>
      <c r="E75" s="5" t="s">
        <v>80</v>
      </c>
      <c r="F75" s="5" t="s">
        <v>10</v>
      </c>
      <c r="G75" s="8" t="s">
        <v>36</v>
      </c>
      <c r="H75" s="5" t="s">
        <v>67</v>
      </c>
      <c r="I75" s="8" t="s">
        <v>64</v>
      </c>
      <c r="J75" s="9">
        <v>9</v>
      </c>
      <c r="K75" s="8" t="s">
        <v>42</v>
      </c>
      <c r="L75" t="s">
        <v>210</v>
      </c>
      <c r="M75" t="str">
        <f>VLOOKUP(E75,Price!$A$2:$C$9,3,)</f>
        <v>$39.00</v>
      </c>
      <c r="N75">
        <f t="shared" si="9"/>
        <v>684</v>
      </c>
      <c r="O75">
        <f t="shared" si="10"/>
        <v>351</v>
      </c>
      <c r="P75">
        <f t="shared" si="11"/>
        <v>333</v>
      </c>
      <c r="Q75" s="20">
        <f>Table1[[#This Row],[Profit ]]/Table1[[#This Row],[Total Revenue]]</f>
        <v>0.48684210526315791</v>
      </c>
    </row>
    <row r="76" spans="1:17" ht="15.75" thickBot="1" x14ac:dyDescent="0.3">
      <c r="A76" s="11" t="s">
        <v>116</v>
      </c>
      <c r="B76" s="17" t="str">
        <f t="shared" si="6"/>
        <v>2026</v>
      </c>
      <c r="C76" s="17" t="str">
        <f t="shared" si="7"/>
        <v>24</v>
      </c>
      <c r="D76" s="17" t="str">
        <f t="shared" si="8"/>
        <v>Feb</v>
      </c>
      <c r="E76" s="5" t="s">
        <v>72</v>
      </c>
      <c r="F76" s="5" t="s">
        <v>62</v>
      </c>
      <c r="G76" s="5" t="s">
        <v>43</v>
      </c>
      <c r="H76" s="5" t="s">
        <v>52</v>
      </c>
      <c r="I76" s="5" t="s">
        <v>56</v>
      </c>
      <c r="J76" s="6">
        <v>7</v>
      </c>
      <c r="K76" s="5" t="s">
        <v>19</v>
      </c>
      <c r="L76" t="s">
        <v>214</v>
      </c>
      <c r="M76" t="str">
        <f>VLOOKUP(E76,Price!$A$2:$C$9,3,)</f>
        <v>$58.00</v>
      </c>
      <c r="N76">
        <f t="shared" si="9"/>
        <v>735</v>
      </c>
      <c r="O76">
        <f t="shared" si="10"/>
        <v>406</v>
      </c>
      <c r="P76">
        <f t="shared" si="11"/>
        <v>329</v>
      </c>
      <c r="Q76" s="20">
        <f>Table1[[#This Row],[Profit ]]/Table1[[#This Row],[Total Revenue]]</f>
        <v>0.44761904761904764</v>
      </c>
    </row>
    <row r="77" spans="1:17" ht="15.75" thickBot="1" x14ac:dyDescent="0.3">
      <c r="A77" s="10">
        <v>46178</v>
      </c>
      <c r="B77" s="16" t="str">
        <f t="shared" si="6"/>
        <v>6178</v>
      </c>
      <c r="C77" s="16" t="str">
        <f t="shared" si="7"/>
        <v>78</v>
      </c>
      <c r="D77" s="16" t="str">
        <f t="shared" si="8"/>
        <v>Dec</v>
      </c>
      <c r="E77" s="5" t="s">
        <v>72</v>
      </c>
      <c r="F77" s="5" t="s">
        <v>10</v>
      </c>
      <c r="G77" s="8" t="s">
        <v>23</v>
      </c>
      <c r="H77" s="5" t="s">
        <v>52</v>
      </c>
      <c r="I77" s="8" t="s">
        <v>13</v>
      </c>
      <c r="J77" s="9">
        <v>13</v>
      </c>
      <c r="K77" s="8" t="s">
        <v>42</v>
      </c>
      <c r="L77" t="s">
        <v>214</v>
      </c>
      <c r="M77" t="str">
        <f>VLOOKUP(E77,Price!$A$2:$C$9,3,)</f>
        <v>$58.00</v>
      </c>
      <c r="N77">
        <f t="shared" si="9"/>
        <v>1365</v>
      </c>
      <c r="O77">
        <f t="shared" si="10"/>
        <v>754</v>
      </c>
      <c r="P77">
        <f t="shared" si="11"/>
        <v>611</v>
      </c>
      <c r="Q77" s="20">
        <f>Table1[[#This Row],[Profit ]]/Table1[[#This Row],[Total Revenue]]</f>
        <v>0.44761904761904764</v>
      </c>
    </row>
    <row r="78" spans="1:17" ht="15.75" thickBot="1" x14ac:dyDescent="0.3">
      <c r="A78" s="11">
        <v>46144</v>
      </c>
      <c r="B78" s="17" t="str">
        <f t="shared" si="6"/>
        <v>6144</v>
      </c>
      <c r="C78" s="17" t="str">
        <f t="shared" si="7"/>
        <v>44</v>
      </c>
      <c r="D78" s="17" t="str">
        <f t="shared" si="8"/>
        <v>Nov</v>
      </c>
      <c r="E78" s="5" t="s">
        <v>97</v>
      </c>
      <c r="F78" s="5" t="s">
        <v>10</v>
      </c>
      <c r="G78" s="5" t="s">
        <v>36</v>
      </c>
      <c r="H78" s="5" t="s">
        <v>63</v>
      </c>
      <c r="I78" s="5" t="s">
        <v>38</v>
      </c>
      <c r="J78" s="6">
        <v>8</v>
      </c>
      <c r="K78" s="5" t="s">
        <v>19</v>
      </c>
      <c r="L78" t="s">
        <v>206</v>
      </c>
      <c r="M78" t="str">
        <f>VLOOKUP(E78,Price!$A$2:$C$9,3,)</f>
        <v>$28.00</v>
      </c>
      <c r="N78">
        <f t="shared" si="9"/>
        <v>432</v>
      </c>
      <c r="O78">
        <f t="shared" si="10"/>
        <v>224</v>
      </c>
      <c r="P78">
        <f t="shared" si="11"/>
        <v>208</v>
      </c>
      <c r="Q78" s="20">
        <f>Table1[[#This Row],[Profit ]]/Table1[[#This Row],[Total Revenue]]</f>
        <v>0.48148148148148145</v>
      </c>
    </row>
    <row r="79" spans="1:17" ht="15.75" thickBot="1" x14ac:dyDescent="0.3">
      <c r="A79" s="10">
        <v>46084</v>
      </c>
      <c r="B79" s="16" t="str">
        <f t="shared" si="6"/>
        <v>6084</v>
      </c>
      <c r="C79" s="16" t="str">
        <f t="shared" si="7"/>
        <v>84</v>
      </c>
      <c r="D79" s="16" t="str">
        <f t="shared" si="8"/>
        <v>Dec</v>
      </c>
      <c r="E79" s="5" t="s">
        <v>21</v>
      </c>
      <c r="F79" s="5" t="s">
        <v>62</v>
      </c>
      <c r="G79" s="8" t="s">
        <v>43</v>
      </c>
      <c r="H79" s="5" t="s">
        <v>138</v>
      </c>
      <c r="I79" s="8" t="s">
        <v>64</v>
      </c>
      <c r="J79" s="9">
        <v>11</v>
      </c>
      <c r="K79" s="8" t="s">
        <v>50</v>
      </c>
      <c r="L79" t="s">
        <v>208</v>
      </c>
      <c r="M79" t="str">
        <f>VLOOKUP(E79,Price!$A$2:$C$9,3,)</f>
        <v>$14.00</v>
      </c>
      <c r="N79">
        <f t="shared" si="9"/>
        <v>352</v>
      </c>
      <c r="O79">
        <f t="shared" si="10"/>
        <v>154</v>
      </c>
      <c r="P79">
        <f t="shared" si="11"/>
        <v>198</v>
      </c>
      <c r="Q79" s="20">
        <f>Table1[[#This Row],[Profit ]]/Table1[[#This Row],[Total Revenue]]</f>
        <v>0.5625</v>
      </c>
    </row>
    <row r="80" spans="1:17" ht="15.75" thickBot="1" x14ac:dyDescent="0.3">
      <c r="A80" s="11" t="s">
        <v>117</v>
      </c>
      <c r="B80" s="17" t="str">
        <f t="shared" si="6"/>
        <v>2026</v>
      </c>
      <c r="C80" s="17" t="str">
        <f t="shared" si="7"/>
        <v>21</v>
      </c>
      <c r="D80" s="17" t="str">
        <f t="shared" si="8"/>
        <v>Apr</v>
      </c>
      <c r="E80" s="5" t="s">
        <v>140</v>
      </c>
      <c r="F80" s="5" t="s">
        <v>10</v>
      </c>
      <c r="G80" s="5" t="s">
        <v>23</v>
      </c>
      <c r="H80" s="5" t="s">
        <v>52</v>
      </c>
      <c r="I80" s="5" t="s">
        <v>47</v>
      </c>
      <c r="J80" s="6">
        <v>11</v>
      </c>
      <c r="K80" s="5" t="s">
        <v>19</v>
      </c>
      <c r="L80" t="s">
        <v>216</v>
      </c>
      <c r="M80" t="str">
        <f>VLOOKUP(E80,Price!$A$2:$C$9,3,)</f>
        <v>$64.00</v>
      </c>
      <c r="N80">
        <f t="shared" si="9"/>
        <v>1232</v>
      </c>
      <c r="O80">
        <f t="shared" si="10"/>
        <v>704</v>
      </c>
      <c r="P80">
        <f t="shared" si="11"/>
        <v>528</v>
      </c>
      <c r="Q80" s="20">
        <f>Table1[[#This Row],[Profit ]]/Table1[[#This Row],[Total Revenue]]</f>
        <v>0.42857142857142855</v>
      </c>
    </row>
    <row r="81" spans="1:17" ht="15.75" thickBot="1" x14ac:dyDescent="0.3">
      <c r="A81" s="10" t="s">
        <v>87</v>
      </c>
      <c r="B81" s="16" t="str">
        <f t="shared" si="6"/>
        <v>2026</v>
      </c>
      <c r="C81" s="16" t="str">
        <f t="shared" si="7"/>
        <v>16</v>
      </c>
      <c r="D81" s="16" t="str">
        <f t="shared" si="8"/>
        <v>Jul</v>
      </c>
      <c r="E81" s="5" t="s">
        <v>118</v>
      </c>
      <c r="F81" s="5" t="s">
        <v>10</v>
      </c>
      <c r="G81" s="8" t="s">
        <v>17</v>
      </c>
      <c r="H81" s="5" t="s">
        <v>138</v>
      </c>
      <c r="I81" s="8" t="s">
        <v>103</v>
      </c>
      <c r="J81" s="9">
        <v>15</v>
      </c>
      <c r="K81" s="8" t="s">
        <v>19</v>
      </c>
      <c r="L81" t="s">
        <v>218</v>
      </c>
      <c r="M81" t="str">
        <f>VLOOKUP(E81,Price!$A$2:$C$9,3,)</f>
        <v>$67.00</v>
      </c>
      <c r="N81">
        <f t="shared" si="9"/>
        <v>1785</v>
      </c>
      <c r="O81">
        <f t="shared" si="10"/>
        <v>1005</v>
      </c>
      <c r="P81">
        <f t="shared" si="11"/>
        <v>780</v>
      </c>
      <c r="Q81" s="20">
        <f>Table1[[#This Row],[Profit ]]/Table1[[#This Row],[Total Revenue]]</f>
        <v>0.43697478991596639</v>
      </c>
    </row>
    <row r="82" spans="1:17" ht="15.75" thickBot="1" x14ac:dyDescent="0.3">
      <c r="A82" s="11">
        <v>46268</v>
      </c>
      <c r="B82" s="17" t="str">
        <f t="shared" si="6"/>
        <v>6268</v>
      </c>
      <c r="C82" s="17" t="str">
        <f t="shared" si="7"/>
        <v>68</v>
      </c>
      <c r="D82" s="17" t="str">
        <f t="shared" si="8"/>
        <v>Dec</v>
      </c>
      <c r="E82" s="5" t="s">
        <v>34</v>
      </c>
      <c r="F82" s="5" t="s">
        <v>62</v>
      </c>
      <c r="G82" s="5" t="s">
        <v>43</v>
      </c>
      <c r="H82" s="5" t="s">
        <v>63</v>
      </c>
      <c r="I82" s="5" t="s">
        <v>73</v>
      </c>
      <c r="J82" s="6">
        <v>10</v>
      </c>
      <c r="K82" s="5" t="s">
        <v>14</v>
      </c>
      <c r="L82" t="s">
        <v>212</v>
      </c>
      <c r="M82" t="str">
        <f>VLOOKUP(E82,Price!$A$2:$C$9,3,)</f>
        <v>$72.00</v>
      </c>
      <c r="N82">
        <f t="shared" si="9"/>
        <v>1280</v>
      </c>
      <c r="O82">
        <f t="shared" si="10"/>
        <v>720</v>
      </c>
      <c r="P82">
        <f t="shared" si="11"/>
        <v>560</v>
      </c>
      <c r="Q82" s="20">
        <f>Table1[[#This Row],[Profit ]]/Table1[[#This Row],[Total Revenue]]</f>
        <v>0.4375</v>
      </c>
    </row>
    <row r="83" spans="1:17" ht="15.75" thickBot="1" x14ac:dyDescent="0.3">
      <c r="A83" s="10">
        <v>46146</v>
      </c>
      <c r="B83" s="16" t="str">
        <f t="shared" si="6"/>
        <v>6146</v>
      </c>
      <c r="C83" s="16" t="str">
        <f t="shared" si="7"/>
        <v>46</v>
      </c>
      <c r="D83" s="16" t="str">
        <f t="shared" si="8"/>
        <v>Nov</v>
      </c>
      <c r="E83" s="5" t="s">
        <v>80</v>
      </c>
      <c r="F83" s="5" t="s">
        <v>35</v>
      </c>
      <c r="G83" s="8" t="s">
        <v>43</v>
      </c>
      <c r="H83" s="5" t="s">
        <v>63</v>
      </c>
      <c r="I83" s="8" t="s">
        <v>49</v>
      </c>
      <c r="J83" s="9">
        <v>4</v>
      </c>
      <c r="K83" s="8" t="s">
        <v>14</v>
      </c>
      <c r="L83" t="s">
        <v>210</v>
      </c>
      <c r="M83" t="str">
        <f>VLOOKUP(E83,Price!$A$2:$C$9,3,)</f>
        <v>$39.00</v>
      </c>
      <c r="N83">
        <f t="shared" si="9"/>
        <v>304</v>
      </c>
      <c r="O83">
        <f t="shared" si="10"/>
        <v>156</v>
      </c>
      <c r="P83">
        <f t="shared" si="11"/>
        <v>148</v>
      </c>
      <c r="Q83" s="20">
        <f>Table1[[#This Row],[Profit ]]/Table1[[#This Row],[Total Revenue]]</f>
        <v>0.48684210526315791</v>
      </c>
    </row>
    <row r="84" spans="1:17" ht="15.75" thickBot="1" x14ac:dyDescent="0.3">
      <c r="A84" s="11" t="s">
        <v>54</v>
      </c>
      <c r="B84" s="17" t="str">
        <f t="shared" si="6"/>
        <v>2026</v>
      </c>
      <c r="C84" s="17" t="str">
        <f t="shared" si="7"/>
        <v>16</v>
      </c>
      <c r="D84" s="17" t="str">
        <f t="shared" si="8"/>
        <v>Mar</v>
      </c>
      <c r="E84" s="5" t="s">
        <v>80</v>
      </c>
      <c r="F84" s="5" t="s">
        <v>62</v>
      </c>
      <c r="G84" s="5" t="s">
        <v>23</v>
      </c>
      <c r="H84" s="5" t="s">
        <v>67</v>
      </c>
      <c r="I84" s="5" t="s">
        <v>53</v>
      </c>
      <c r="J84" s="6">
        <v>7</v>
      </c>
      <c r="K84" s="5" t="s">
        <v>50</v>
      </c>
      <c r="L84" t="s">
        <v>210</v>
      </c>
      <c r="M84" t="str">
        <f>VLOOKUP(E84,Price!$A$2:$C$9,3,)</f>
        <v>$39.00</v>
      </c>
      <c r="N84">
        <f t="shared" si="9"/>
        <v>532</v>
      </c>
      <c r="O84">
        <f t="shared" si="10"/>
        <v>273</v>
      </c>
      <c r="P84">
        <f t="shared" si="11"/>
        <v>259</v>
      </c>
      <c r="Q84" s="20">
        <f>Table1[[#This Row],[Profit ]]/Table1[[#This Row],[Total Revenue]]</f>
        <v>0.48684210526315791</v>
      </c>
    </row>
    <row r="85" spans="1:17" ht="15.75" thickBot="1" x14ac:dyDescent="0.3">
      <c r="A85" s="10" t="s">
        <v>119</v>
      </c>
      <c r="B85" s="16" t="str">
        <f t="shared" si="6"/>
        <v>2026</v>
      </c>
      <c r="C85" s="16" t="str">
        <f t="shared" si="7"/>
        <v>19</v>
      </c>
      <c r="D85" s="16" t="str">
        <f t="shared" si="8"/>
        <v>Jan</v>
      </c>
      <c r="E85" s="5" t="s">
        <v>21</v>
      </c>
      <c r="F85" s="5" t="s">
        <v>35</v>
      </c>
      <c r="G85" s="8" t="s">
        <v>36</v>
      </c>
      <c r="H85" s="5" t="s">
        <v>67</v>
      </c>
      <c r="I85" s="8" t="s">
        <v>86</v>
      </c>
      <c r="J85" s="9">
        <v>7</v>
      </c>
      <c r="K85" s="8" t="s">
        <v>42</v>
      </c>
      <c r="L85" t="s">
        <v>208</v>
      </c>
      <c r="M85" t="str">
        <f>VLOOKUP(E85,Price!$A$2:$C$9,3,)</f>
        <v>$14.00</v>
      </c>
      <c r="N85">
        <f t="shared" si="9"/>
        <v>224</v>
      </c>
      <c r="O85">
        <f t="shared" si="10"/>
        <v>98</v>
      </c>
      <c r="P85">
        <f t="shared" si="11"/>
        <v>126</v>
      </c>
      <c r="Q85" s="20">
        <f>Table1[[#This Row],[Profit ]]/Table1[[#This Row],[Total Revenue]]</f>
        <v>0.5625</v>
      </c>
    </row>
    <row r="86" spans="1:17" ht="15.75" thickBot="1" x14ac:dyDescent="0.3">
      <c r="A86" s="11" t="s">
        <v>120</v>
      </c>
      <c r="B86" s="17" t="str">
        <f t="shared" si="6"/>
        <v>2026</v>
      </c>
      <c r="C86" s="17" t="str">
        <f t="shared" si="7"/>
        <v>14</v>
      </c>
      <c r="D86" s="17" t="str">
        <f t="shared" si="8"/>
        <v>Jun</v>
      </c>
      <c r="E86" s="5" t="s">
        <v>80</v>
      </c>
      <c r="F86" s="5" t="s">
        <v>10</v>
      </c>
      <c r="G86" s="5" t="s">
        <v>23</v>
      </c>
      <c r="H86" s="5" t="s">
        <v>63</v>
      </c>
      <c r="I86" s="5" t="s">
        <v>25</v>
      </c>
      <c r="J86" s="6">
        <v>13</v>
      </c>
      <c r="K86" s="5" t="s">
        <v>50</v>
      </c>
      <c r="L86" t="s">
        <v>210</v>
      </c>
      <c r="M86" t="str">
        <f>VLOOKUP(E86,Price!$A$2:$C$9,3,)</f>
        <v>$39.00</v>
      </c>
      <c r="N86">
        <f t="shared" si="9"/>
        <v>988</v>
      </c>
      <c r="O86">
        <f t="shared" si="10"/>
        <v>507</v>
      </c>
      <c r="P86">
        <f t="shared" si="11"/>
        <v>481</v>
      </c>
      <c r="Q86" s="20">
        <f>Table1[[#This Row],[Profit ]]/Table1[[#This Row],[Total Revenue]]</f>
        <v>0.48684210526315791</v>
      </c>
    </row>
    <row r="87" spans="1:17" ht="15.75" thickBot="1" x14ac:dyDescent="0.3">
      <c r="A87" s="10">
        <v>46058</v>
      </c>
      <c r="B87" s="16" t="str">
        <f t="shared" si="6"/>
        <v>6058</v>
      </c>
      <c r="C87" s="16" t="str">
        <f t="shared" si="7"/>
        <v>58</v>
      </c>
      <c r="D87" s="16" t="str">
        <f t="shared" si="8"/>
        <v>Nov</v>
      </c>
      <c r="E87" s="5" t="s">
        <v>97</v>
      </c>
      <c r="F87" s="5" t="s">
        <v>35</v>
      </c>
      <c r="G87" s="8" t="s">
        <v>23</v>
      </c>
      <c r="H87" s="5" t="s">
        <v>138</v>
      </c>
      <c r="I87" s="8" t="s">
        <v>86</v>
      </c>
      <c r="J87" s="9">
        <v>12</v>
      </c>
      <c r="K87" s="8" t="s">
        <v>14</v>
      </c>
      <c r="L87" t="s">
        <v>206</v>
      </c>
      <c r="M87" t="str">
        <f>VLOOKUP(E87,Price!$A$2:$C$9,3,)</f>
        <v>$28.00</v>
      </c>
      <c r="N87">
        <f t="shared" si="9"/>
        <v>648</v>
      </c>
      <c r="O87">
        <f t="shared" si="10"/>
        <v>336</v>
      </c>
      <c r="P87">
        <f t="shared" si="11"/>
        <v>312</v>
      </c>
      <c r="Q87" s="20">
        <f>Table1[[#This Row],[Profit ]]/Table1[[#This Row],[Total Revenue]]</f>
        <v>0.48148148148148145</v>
      </c>
    </row>
    <row r="88" spans="1:17" ht="15.75" thickBot="1" x14ac:dyDescent="0.3">
      <c r="A88" s="11">
        <v>46114</v>
      </c>
      <c r="B88" s="17" t="str">
        <f t="shared" si="6"/>
        <v>6114</v>
      </c>
      <c r="C88" s="17" t="str">
        <f t="shared" si="7"/>
        <v>14</v>
      </c>
      <c r="D88" s="17" t="str">
        <f t="shared" si="8"/>
        <v>Oct</v>
      </c>
      <c r="E88" s="5" t="s">
        <v>80</v>
      </c>
      <c r="F88" s="5" t="s">
        <v>62</v>
      </c>
      <c r="G88" s="5" t="s">
        <v>11</v>
      </c>
      <c r="H88" s="5" t="s">
        <v>138</v>
      </c>
      <c r="I88" s="5" t="s">
        <v>13</v>
      </c>
      <c r="J88" s="6">
        <v>14</v>
      </c>
      <c r="K88" s="5" t="s">
        <v>42</v>
      </c>
      <c r="L88" t="s">
        <v>210</v>
      </c>
      <c r="M88" t="str">
        <f>VLOOKUP(E88,Price!$A$2:$C$9,3,)</f>
        <v>$39.00</v>
      </c>
      <c r="N88">
        <f t="shared" si="9"/>
        <v>1064</v>
      </c>
      <c r="O88">
        <f t="shared" si="10"/>
        <v>546</v>
      </c>
      <c r="P88">
        <f t="shared" si="11"/>
        <v>518</v>
      </c>
      <c r="Q88" s="20">
        <f>Table1[[#This Row],[Profit ]]/Table1[[#This Row],[Total Revenue]]</f>
        <v>0.48684210526315791</v>
      </c>
    </row>
    <row r="89" spans="1:17" ht="15.75" thickBot="1" x14ac:dyDescent="0.3">
      <c r="A89" s="10" t="s">
        <v>121</v>
      </c>
      <c r="B89" s="16" t="str">
        <f t="shared" si="6"/>
        <v>2026</v>
      </c>
      <c r="C89" s="16" t="str">
        <f t="shared" si="7"/>
        <v>14</v>
      </c>
      <c r="D89" s="16" t="str">
        <f t="shared" si="8"/>
        <v>Feb</v>
      </c>
      <c r="E89" s="5" t="s">
        <v>72</v>
      </c>
      <c r="F89" s="5" t="s">
        <v>10</v>
      </c>
      <c r="G89" s="8" t="s">
        <v>43</v>
      </c>
      <c r="H89" s="5" t="s">
        <v>52</v>
      </c>
      <c r="I89" s="8" t="s">
        <v>86</v>
      </c>
      <c r="J89" s="9">
        <v>8</v>
      </c>
      <c r="K89" s="8" t="s">
        <v>42</v>
      </c>
      <c r="L89" t="s">
        <v>214</v>
      </c>
      <c r="M89" t="str">
        <f>VLOOKUP(E89,Price!$A$2:$C$9,3,)</f>
        <v>$58.00</v>
      </c>
      <c r="N89">
        <f t="shared" si="9"/>
        <v>840</v>
      </c>
      <c r="O89">
        <f t="shared" si="10"/>
        <v>464</v>
      </c>
      <c r="P89">
        <f t="shared" si="11"/>
        <v>376</v>
      </c>
      <c r="Q89" s="20">
        <f>Table1[[#This Row],[Profit ]]/Table1[[#This Row],[Total Revenue]]</f>
        <v>0.44761904761904764</v>
      </c>
    </row>
    <row r="90" spans="1:17" ht="15.75" thickBot="1" x14ac:dyDescent="0.3">
      <c r="A90" s="11" t="s">
        <v>122</v>
      </c>
      <c r="B90" s="17" t="str">
        <f t="shared" si="6"/>
        <v>2026</v>
      </c>
      <c r="C90" s="17" t="str">
        <f t="shared" si="7"/>
        <v>18</v>
      </c>
      <c r="D90" s="17" t="str">
        <f t="shared" si="8"/>
        <v>Mar</v>
      </c>
      <c r="E90" s="5" t="s">
        <v>80</v>
      </c>
      <c r="F90" s="5" t="s">
        <v>10</v>
      </c>
      <c r="G90" s="5" t="s">
        <v>23</v>
      </c>
      <c r="H90" s="5" t="s">
        <v>52</v>
      </c>
      <c r="I90" s="5" t="s">
        <v>49</v>
      </c>
      <c r="J90" s="6">
        <v>3</v>
      </c>
      <c r="K90" s="5" t="s">
        <v>14</v>
      </c>
      <c r="L90" t="s">
        <v>210</v>
      </c>
      <c r="M90" t="str">
        <f>VLOOKUP(E90,Price!$A$2:$C$9,3,)</f>
        <v>$39.00</v>
      </c>
      <c r="N90">
        <f t="shared" si="9"/>
        <v>228</v>
      </c>
      <c r="O90">
        <f t="shared" si="10"/>
        <v>117</v>
      </c>
      <c r="P90">
        <f t="shared" si="11"/>
        <v>111</v>
      </c>
      <c r="Q90" s="20">
        <f>Table1[[#This Row],[Profit ]]/Table1[[#This Row],[Total Revenue]]</f>
        <v>0.48684210526315791</v>
      </c>
    </row>
    <row r="91" spans="1:17" ht="15.75" thickBot="1" x14ac:dyDescent="0.3">
      <c r="A91" s="10">
        <v>46268</v>
      </c>
      <c r="B91" s="16" t="str">
        <f t="shared" si="6"/>
        <v>6268</v>
      </c>
      <c r="C91" s="16" t="str">
        <f t="shared" si="7"/>
        <v>68</v>
      </c>
      <c r="D91" s="16" t="str">
        <f t="shared" si="8"/>
        <v>Dec</v>
      </c>
      <c r="E91" s="5" t="s">
        <v>21</v>
      </c>
      <c r="F91" s="5" t="s">
        <v>35</v>
      </c>
      <c r="G91" s="8" t="s">
        <v>17</v>
      </c>
      <c r="H91" s="5" t="s">
        <v>67</v>
      </c>
      <c r="I91" s="8" t="s">
        <v>38</v>
      </c>
      <c r="J91" s="9">
        <v>8</v>
      </c>
      <c r="K91" s="8" t="s">
        <v>19</v>
      </c>
      <c r="L91" t="s">
        <v>208</v>
      </c>
      <c r="M91" t="str">
        <f>VLOOKUP(E91,Price!$A$2:$C$9,3,)</f>
        <v>$14.00</v>
      </c>
      <c r="N91">
        <f t="shared" si="9"/>
        <v>256</v>
      </c>
      <c r="O91">
        <f t="shared" si="10"/>
        <v>112</v>
      </c>
      <c r="P91">
        <f t="shared" si="11"/>
        <v>144</v>
      </c>
      <c r="Q91" s="20">
        <f>Table1[[#This Row],[Profit ]]/Table1[[#This Row],[Total Revenue]]</f>
        <v>0.5625</v>
      </c>
    </row>
    <row r="92" spans="1:17" ht="15.75" thickBot="1" x14ac:dyDescent="0.3">
      <c r="A92" s="11" t="s">
        <v>89</v>
      </c>
      <c r="B92" s="17" t="str">
        <f t="shared" si="6"/>
        <v>2026</v>
      </c>
      <c r="C92" s="17" t="str">
        <f t="shared" si="7"/>
        <v>30</v>
      </c>
      <c r="D92" s="17" t="str">
        <f t="shared" si="8"/>
        <v>Mar</v>
      </c>
      <c r="E92" s="5" t="s">
        <v>118</v>
      </c>
      <c r="F92" s="5" t="s">
        <v>35</v>
      </c>
      <c r="G92" s="5" t="s">
        <v>23</v>
      </c>
      <c r="H92" s="5" t="s">
        <v>63</v>
      </c>
      <c r="I92" s="5" t="s">
        <v>38</v>
      </c>
      <c r="J92" s="6">
        <v>14</v>
      </c>
      <c r="K92" s="5" t="s">
        <v>14</v>
      </c>
      <c r="L92" t="s">
        <v>218</v>
      </c>
      <c r="M92" t="str">
        <f>VLOOKUP(E92,Price!$A$2:$C$9,3,)</f>
        <v>$67.00</v>
      </c>
      <c r="N92">
        <f t="shared" si="9"/>
        <v>1666</v>
      </c>
      <c r="O92">
        <f t="shared" si="10"/>
        <v>938</v>
      </c>
      <c r="P92">
        <f t="shared" si="11"/>
        <v>728</v>
      </c>
      <c r="Q92" s="20">
        <f>Table1[[#This Row],[Profit ]]/Table1[[#This Row],[Total Revenue]]</f>
        <v>0.43697478991596639</v>
      </c>
    </row>
    <row r="93" spans="1:17" ht="15.75" thickBot="1" x14ac:dyDescent="0.3">
      <c r="A93" s="10">
        <v>46029</v>
      </c>
      <c r="B93" s="16" t="str">
        <f t="shared" si="6"/>
        <v>6029</v>
      </c>
      <c r="C93" s="16" t="str">
        <f t="shared" si="7"/>
        <v>29</v>
      </c>
      <c r="D93" s="16" t="str">
        <f t="shared" si="8"/>
        <v>Oct</v>
      </c>
      <c r="E93" s="5" t="s">
        <v>140</v>
      </c>
      <c r="F93" s="5" t="s">
        <v>10</v>
      </c>
      <c r="G93" s="8" t="s">
        <v>23</v>
      </c>
      <c r="H93" s="5" t="s">
        <v>67</v>
      </c>
      <c r="I93" s="8" t="s">
        <v>25</v>
      </c>
      <c r="J93" s="9">
        <v>7</v>
      </c>
      <c r="K93" s="8" t="s">
        <v>50</v>
      </c>
      <c r="L93" t="s">
        <v>216</v>
      </c>
      <c r="M93" t="str">
        <f>VLOOKUP(E93,Price!$A$2:$C$9,3,)</f>
        <v>$64.00</v>
      </c>
      <c r="N93">
        <f t="shared" si="9"/>
        <v>784</v>
      </c>
      <c r="O93">
        <f t="shared" si="10"/>
        <v>448</v>
      </c>
      <c r="P93">
        <f t="shared" si="11"/>
        <v>336</v>
      </c>
      <c r="Q93" s="20">
        <f>Table1[[#This Row],[Profit ]]/Table1[[#This Row],[Total Revenue]]</f>
        <v>0.42857142857142855</v>
      </c>
    </row>
    <row r="94" spans="1:17" ht="15.75" thickBot="1" x14ac:dyDescent="0.3">
      <c r="A94" s="11">
        <v>46364</v>
      </c>
      <c r="B94" s="17" t="str">
        <f t="shared" si="6"/>
        <v>6364</v>
      </c>
      <c r="C94" s="17" t="str">
        <f t="shared" si="7"/>
        <v>64</v>
      </c>
      <c r="D94" s="17" t="str">
        <f t="shared" si="8"/>
        <v>Dec</v>
      </c>
      <c r="E94" s="5" t="s">
        <v>97</v>
      </c>
      <c r="F94" s="5" t="s">
        <v>35</v>
      </c>
      <c r="G94" s="5" t="s">
        <v>43</v>
      </c>
      <c r="H94" s="5" t="s">
        <v>52</v>
      </c>
      <c r="I94" s="5" t="s">
        <v>33</v>
      </c>
      <c r="J94" s="6">
        <v>5</v>
      </c>
      <c r="K94" s="5" t="s">
        <v>42</v>
      </c>
      <c r="L94" t="s">
        <v>206</v>
      </c>
      <c r="M94" t="str">
        <f>VLOOKUP(E94,Price!$A$2:$C$9,3,)</f>
        <v>$28.00</v>
      </c>
      <c r="N94">
        <f t="shared" si="9"/>
        <v>270</v>
      </c>
      <c r="O94">
        <f t="shared" si="10"/>
        <v>140</v>
      </c>
      <c r="P94">
        <f t="shared" si="11"/>
        <v>130</v>
      </c>
      <c r="Q94" s="20">
        <f>Table1[[#This Row],[Profit ]]/Table1[[#This Row],[Total Revenue]]</f>
        <v>0.48148148148148145</v>
      </c>
    </row>
    <row r="95" spans="1:17" ht="15.75" thickBot="1" x14ac:dyDescent="0.3">
      <c r="A95" s="10">
        <v>46327</v>
      </c>
      <c r="B95" s="16" t="str">
        <f t="shared" si="6"/>
        <v>6327</v>
      </c>
      <c r="C95" s="16" t="str">
        <f t="shared" si="7"/>
        <v>27</v>
      </c>
      <c r="D95" s="16" t="str">
        <f t="shared" si="8"/>
        <v>Oct</v>
      </c>
      <c r="E95" s="5" t="s">
        <v>72</v>
      </c>
      <c r="F95" s="5" t="s">
        <v>10</v>
      </c>
      <c r="G95" s="8" t="s">
        <v>23</v>
      </c>
      <c r="H95" s="5" t="s">
        <v>67</v>
      </c>
      <c r="I95" s="8" t="s">
        <v>25</v>
      </c>
      <c r="J95" s="9">
        <v>14</v>
      </c>
      <c r="K95" s="8" t="s">
        <v>42</v>
      </c>
      <c r="L95" t="s">
        <v>214</v>
      </c>
      <c r="M95" t="str">
        <f>VLOOKUP(E95,Price!$A$2:$C$9,3,)</f>
        <v>$58.00</v>
      </c>
      <c r="N95">
        <f t="shared" si="9"/>
        <v>1470</v>
      </c>
      <c r="O95">
        <f t="shared" si="10"/>
        <v>812</v>
      </c>
      <c r="P95">
        <f t="shared" si="11"/>
        <v>658</v>
      </c>
      <c r="Q95" s="20">
        <f>Table1[[#This Row],[Profit ]]/Table1[[#This Row],[Total Revenue]]</f>
        <v>0.44761904761904764</v>
      </c>
    </row>
    <row r="96" spans="1:17" ht="15.75" thickBot="1" x14ac:dyDescent="0.3">
      <c r="A96" s="11" t="s">
        <v>123</v>
      </c>
      <c r="B96" s="17" t="str">
        <f t="shared" si="6"/>
        <v>2026</v>
      </c>
      <c r="C96" s="17" t="str">
        <f t="shared" si="7"/>
        <v>30</v>
      </c>
      <c r="D96" s="17" t="str">
        <f t="shared" si="8"/>
        <v>Jun</v>
      </c>
      <c r="E96" s="5" t="s">
        <v>118</v>
      </c>
      <c r="F96" s="5" t="s">
        <v>90</v>
      </c>
      <c r="G96" s="5" t="s">
        <v>11</v>
      </c>
      <c r="H96" s="5" t="s">
        <v>52</v>
      </c>
      <c r="I96" s="5" t="s">
        <v>41</v>
      </c>
      <c r="J96" s="6">
        <v>6</v>
      </c>
      <c r="K96" s="5" t="s">
        <v>42</v>
      </c>
      <c r="L96" t="s">
        <v>218</v>
      </c>
      <c r="M96" t="str">
        <f>VLOOKUP(E96,Price!$A$2:$C$9,3,)</f>
        <v>$67.00</v>
      </c>
      <c r="N96">
        <f t="shared" si="9"/>
        <v>714</v>
      </c>
      <c r="O96">
        <f t="shared" si="10"/>
        <v>402</v>
      </c>
      <c r="P96">
        <f t="shared" si="11"/>
        <v>312</v>
      </c>
      <c r="Q96" s="20">
        <f>Table1[[#This Row],[Profit ]]/Table1[[#This Row],[Total Revenue]]</f>
        <v>0.43697478991596639</v>
      </c>
    </row>
    <row r="97" spans="1:17" ht="15.75" thickBot="1" x14ac:dyDescent="0.3">
      <c r="A97" s="10" t="s">
        <v>124</v>
      </c>
      <c r="B97" s="16" t="str">
        <f t="shared" si="6"/>
        <v>2026</v>
      </c>
      <c r="C97" s="16" t="str">
        <f t="shared" si="7"/>
        <v>22</v>
      </c>
      <c r="D97" s="16" t="str">
        <f t="shared" si="8"/>
        <v>Jan</v>
      </c>
      <c r="E97" s="5" t="s">
        <v>118</v>
      </c>
      <c r="F97" s="5" t="s">
        <v>62</v>
      </c>
      <c r="G97" s="8" t="s">
        <v>11</v>
      </c>
      <c r="H97" s="5" t="s">
        <v>12</v>
      </c>
      <c r="I97" s="8" t="s">
        <v>25</v>
      </c>
      <c r="J97" s="9">
        <v>7</v>
      </c>
      <c r="K97" s="8" t="s">
        <v>19</v>
      </c>
      <c r="L97" t="s">
        <v>218</v>
      </c>
      <c r="M97" t="str">
        <f>VLOOKUP(E97,Price!$A$2:$C$9,3,)</f>
        <v>$67.00</v>
      </c>
      <c r="N97">
        <f t="shared" si="9"/>
        <v>833</v>
      </c>
      <c r="O97">
        <f t="shared" si="10"/>
        <v>469</v>
      </c>
      <c r="P97">
        <f t="shared" si="11"/>
        <v>364</v>
      </c>
      <c r="Q97" s="20">
        <f>Table1[[#This Row],[Profit ]]/Table1[[#This Row],[Total Revenue]]</f>
        <v>0.43697478991596639</v>
      </c>
    </row>
    <row r="98" spans="1:17" ht="15.75" thickBot="1" x14ac:dyDescent="0.3">
      <c r="A98" s="11" t="s">
        <v>125</v>
      </c>
      <c r="B98" s="17" t="str">
        <f t="shared" si="6"/>
        <v>2026</v>
      </c>
      <c r="C98" s="17" t="str">
        <f t="shared" si="7"/>
        <v>20</v>
      </c>
      <c r="D98" s="17" t="str">
        <f t="shared" si="8"/>
        <v>Jul</v>
      </c>
      <c r="E98" s="5" t="s">
        <v>97</v>
      </c>
      <c r="F98" s="5" t="s">
        <v>10</v>
      </c>
      <c r="G98" s="5" t="s">
        <v>23</v>
      </c>
      <c r="H98" s="5" t="s">
        <v>52</v>
      </c>
      <c r="I98" s="5" t="s">
        <v>28</v>
      </c>
      <c r="J98" s="6">
        <v>9</v>
      </c>
      <c r="K98" s="5" t="s">
        <v>14</v>
      </c>
      <c r="L98" t="s">
        <v>206</v>
      </c>
      <c r="M98" t="str">
        <f>VLOOKUP(E98,Price!$A$2:$C$9,3,)</f>
        <v>$28.00</v>
      </c>
      <c r="N98">
        <f t="shared" si="9"/>
        <v>486</v>
      </c>
      <c r="O98">
        <f t="shared" si="10"/>
        <v>252</v>
      </c>
      <c r="P98">
        <f t="shared" si="11"/>
        <v>234</v>
      </c>
      <c r="Q98" s="20">
        <f>Table1[[#This Row],[Profit ]]/Table1[[#This Row],[Total Revenue]]</f>
        <v>0.48148148148148145</v>
      </c>
    </row>
    <row r="99" spans="1:17" ht="15.75" thickBot="1" x14ac:dyDescent="0.3">
      <c r="A99" s="10">
        <v>46177</v>
      </c>
      <c r="B99" s="16" t="str">
        <f t="shared" si="6"/>
        <v>6177</v>
      </c>
      <c r="C99" s="16" t="str">
        <f t="shared" si="7"/>
        <v>77</v>
      </c>
      <c r="D99" s="16" t="str">
        <f t="shared" si="8"/>
        <v>Dec</v>
      </c>
      <c r="E99" s="5" t="s">
        <v>74</v>
      </c>
      <c r="F99" s="5" t="s">
        <v>10</v>
      </c>
      <c r="G99" s="8" t="s">
        <v>36</v>
      </c>
      <c r="H99" s="5" t="s">
        <v>67</v>
      </c>
      <c r="I99" s="8" t="s">
        <v>38</v>
      </c>
      <c r="J99" s="9">
        <v>10</v>
      </c>
      <c r="K99" s="8" t="s">
        <v>19</v>
      </c>
      <c r="L99" t="s">
        <v>204</v>
      </c>
      <c r="M99" t="str">
        <f>VLOOKUP(E99,Price!$A$2:$C$9,3,)</f>
        <v>$47.00</v>
      </c>
      <c r="N99">
        <f t="shared" si="9"/>
        <v>890</v>
      </c>
      <c r="O99">
        <f t="shared" si="10"/>
        <v>470</v>
      </c>
      <c r="P99">
        <f t="shared" si="11"/>
        <v>420</v>
      </c>
      <c r="Q99" s="20">
        <f>Table1[[#This Row],[Profit ]]/Table1[[#This Row],[Total Revenue]]</f>
        <v>0.47191011235955055</v>
      </c>
    </row>
    <row r="100" spans="1:17" ht="15.75" thickBot="1" x14ac:dyDescent="0.3">
      <c r="A100" s="11">
        <v>46357</v>
      </c>
      <c r="B100" s="17" t="str">
        <f t="shared" si="6"/>
        <v>6357</v>
      </c>
      <c r="C100" s="17" t="str">
        <f t="shared" si="7"/>
        <v>57</v>
      </c>
      <c r="D100" s="17" t="str">
        <f t="shared" si="8"/>
        <v>Nov</v>
      </c>
      <c r="E100" s="5" t="s">
        <v>140</v>
      </c>
      <c r="F100" s="5" t="s">
        <v>62</v>
      </c>
      <c r="G100" s="5" t="s">
        <v>11</v>
      </c>
      <c r="H100" s="5" t="s">
        <v>12</v>
      </c>
      <c r="I100" s="5" t="s">
        <v>73</v>
      </c>
      <c r="J100" s="6">
        <v>6</v>
      </c>
      <c r="K100" s="5" t="s">
        <v>19</v>
      </c>
      <c r="L100" t="s">
        <v>216</v>
      </c>
      <c r="M100" t="str">
        <f>VLOOKUP(E100,Price!$A$2:$C$9,3,)</f>
        <v>$64.00</v>
      </c>
      <c r="N100">
        <f t="shared" si="9"/>
        <v>672</v>
      </c>
      <c r="O100">
        <f t="shared" si="10"/>
        <v>384</v>
      </c>
      <c r="P100">
        <f t="shared" si="11"/>
        <v>288</v>
      </c>
      <c r="Q100" s="20">
        <f>Table1[[#This Row],[Profit ]]/Table1[[#This Row],[Total Revenue]]</f>
        <v>0.42857142857142855</v>
      </c>
    </row>
    <row r="101" spans="1:17" ht="15.75" thickBot="1" x14ac:dyDescent="0.3">
      <c r="A101" s="10" t="s">
        <v>114</v>
      </c>
      <c r="B101" s="16" t="str">
        <f t="shared" si="6"/>
        <v>2026</v>
      </c>
      <c r="C101" s="16" t="str">
        <f t="shared" si="7"/>
        <v>24</v>
      </c>
      <c r="D101" s="16" t="str">
        <f t="shared" si="8"/>
        <v>Jun</v>
      </c>
      <c r="E101" s="5" t="s">
        <v>72</v>
      </c>
      <c r="F101" s="5" t="s">
        <v>90</v>
      </c>
      <c r="G101" s="8" t="s">
        <v>43</v>
      </c>
      <c r="H101" s="5" t="s">
        <v>52</v>
      </c>
      <c r="I101" s="8" t="s">
        <v>33</v>
      </c>
      <c r="J101" s="9">
        <v>12</v>
      </c>
      <c r="K101" s="8" t="s">
        <v>19</v>
      </c>
      <c r="L101" t="s">
        <v>214</v>
      </c>
      <c r="M101" t="str">
        <f>VLOOKUP(E101,Price!$A$2:$C$9,3,)</f>
        <v>$58.00</v>
      </c>
      <c r="N101">
        <f t="shared" si="9"/>
        <v>1260</v>
      </c>
      <c r="O101">
        <f t="shared" si="10"/>
        <v>696</v>
      </c>
      <c r="P101">
        <f t="shared" si="11"/>
        <v>564</v>
      </c>
      <c r="Q101" s="20">
        <f>Table1[[#This Row],[Profit ]]/Table1[[#This Row],[Total Revenue]]</f>
        <v>0.44761904761904764</v>
      </c>
    </row>
    <row r="102" spans="1:17" ht="15.75" thickBot="1" x14ac:dyDescent="0.3">
      <c r="A102" s="11" t="s">
        <v>126</v>
      </c>
      <c r="B102" s="17" t="str">
        <f t="shared" si="6"/>
        <v>2026</v>
      </c>
      <c r="C102" s="17" t="str">
        <f t="shared" si="7"/>
        <v>20</v>
      </c>
      <c r="D102" s="17" t="str">
        <f t="shared" si="8"/>
        <v>Mar</v>
      </c>
      <c r="E102" s="5" t="s">
        <v>80</v>
      </c>
      <c r="F102" s="5" t="s">
        <v>62</v>
      </c>
      <c r="G102" s="5" t="s">
        <v>43</v>
      </c>
      <c r="H102" s="5" t="s">
        <v>63</v>
      </c>
      <c r="I102" s="5" t="s">
        <v>53</v>
      </c>
      <c r="J102" s="6">
        <v>4</v>
      </c>
      <c r="K102" s="5" t="s">
        <v>14</v>
      </c>
      <c r="L102" t="s">
        <v>210</v>
      </c>
      <c r="M102" t="str">
        <f>VLOOKUP(E102,Price!$A$2:$C$9,3,)</f>
        <v>$39.00</v>
      </c>
      <c r="N102">
        <f t="shared" si="9"/>
        <v>304</v>
      </c>
      <c r="O102">
        <f t="shared" si="10"/>
        <v>156</v>
      </c>
      <c r="P102">
        <f t="shared" si="11"/>
        <v>148</v>
      </c>
      <c r="Q102" s="20">
        <f>Table1[[#This Row],[Profit ]]/Table1[[#This Row],[Total Revenue]]</f>
        <v>0.48684210526315791</v>
      </c>
    </row>
    <row r="103" spans="1:17" ht="15.75" thickBot="1" x14ac:dyDescent="0.3">
      <c r="A103" s="10" t="s">
        <v>127</v>
      </c>
      <c r="B103" s="16" t="str">
        <f t="shared" si="6"/>
        <v>2026</v>
      </c>
      <c r="C103" s="16" t="str">
        <f t="shared" si="7"/>
        <v>13</v>
      </c>
      <c r="D103" s="16" t="str">
        <f t="shared" si="8"/>
        <v>Jul</v>
      </c>
      <c r="E103" s="5" t="s">
        <v>74</v>
      </c>
      <c r="F103" s="5" t="s">
        <v>10</v>
      </c>
      <c r="G103" s="8" t="s">
        <v>17</v>
      </c>
      <c r="H103" s="5" t="s">
        <v>63</v>
      </c>
      <c r="I103" s="8" t="s">
        <v>38</v>
      </c>
      <c r="J103" s="9">
        <v>8</v>
      </c>
      <c r="K103" s="8" t="s">
        <v>50</v>
      </c>
      <c r="L103" t="s">
        <v>204</v>
      </c>
      <c r="M103" t="str">
        <f>VLOOKUP(E103,Price!$A$2:$C$9,3,)</f>
        <v>$47.00</v>
      </c>
      <c r="N103">
        <f t="shared" si="9"/>
        <v>712</v>
      </c>
      <c r="O103">
        <f t="shared" si="10"/>
        <v>376</v>
      </c>
      <c r="P103">
        <f t="shared" si="11"/>
        <v>336</v>
      </c>
      <c r="Q103" s="20">
        <f>Table1[[#This Row],[Profit ]]/Table1[[#This Row],[Total Revenue]]</f>
        <v>0.47191011235955055</v>
      </c>
    </row>
    <row r="104" spans="1:17" ht="15.75" thickBot="1" x14ac:dyDescent="0.3">
      <c r="A104" s="11" t="s">
        <v>128</v>
      </c>
      <c r="B104" s="17" t="str">
        <f t="shared" si="6"/>
        <v>2026</v>
      </c>
      <c r="C104" s="17" t="str">
        <f t="shared" si="7"/>
        <v>18</v>
      </c>
      <c r="D104" s="17" t="str">
        <f t="shared" si="8"/>
        <v>Jan</v>
      </c>
      <c r="E104" s="5" t="s">
        <v>21</v>
      </c>
      <c r="F104" s="5" t="s">
        <v>10</v>
      </c>
      <c r="G104" s="5" t="s">
        <v>36</v>
      </c>
      <c r="H104" s="5" t="s">
        <v>52</v>
      </c>
      <c r="I104" s="5" t="s">
        <v>13</v>
      </c>
      <c r="J104" s="6">
        <v>8</v>
      </c>
      <c r="K104" s="5" t="s">
        <v>42</v>
      </c>
      <c r="L104" t="s">
        <v>208</v>
      </c>
      <c r="M104" t="str">
        <f>VLOOKUP(E104,Price!$A$2:$C$9,3,)</f>
        <v>$14.00</v>
      </c>
      <c r="N104">
        <f t="shared" si="9"/>
        <v>256</v>
      </c>
      <c r="O104">
        <f t="shared" si="10"/>
        <v>112</v>
      </c>
      <c r="P104">
        <f t="shared" si="11"/>
        <v>144</v>
      </c>
      <c r="Q104" s="20">
        <f>Table1[[#This Row],[Profit ]]/Table1[[#This Row],[Total Revenue]]</f>
        <v>0.5625</v>
      </c>
    </row>
    <row r="105" spans="1:17" ht="15.75" thickBot="1" x14ac:dyDescent="0.3">
      <c r="A105" s="10" t="s">
        <v>120</v>
      </c>
      <c r="B105" s="16" t="str">
        <f t="shared" si="6"/>
        <v>2026</v>
      </c>
      <c r="C105" s="16" t="str">
        <f t="shared" si="7"/>
        <v>14</v>
      </c>
      <c r="D105" s="16" t="str">
        <f t="shared" si="8"/>
        <v>Jun</v>
      </c>
      <c r="E105" s="5" t="s">
        <v>118</v>
      </c>
      <c r="F105" s="5" t="s">
        <v>35</v>
      </c>
      <c r="G105" s="8" t="s">
        <v>43</v>
      </c>
      <c r="H105" s="5" t="s">
        <v>63</v>
      </c>
      <c r="I105" s="8" t="s">
        <v>33</v>
      </c>
      <c r="J105" s="9">
        <v>6</v>
      </c>
      <c r="K105" s="8" t="s">
        <v>19</v>
      </c>
      <c r="L105" t="s">
        <v>218</v>
      </c>
      <c r="M105" t="str">
        <f>VLOOKUP(E105,Price!$A$2:$C$9,3,)</f>
        <v>$67.00</v>
      </c>
      <c r="N105">
        <f t="shared" si="9"/>
        <v>714</v>
      </c>
      <c r="O105">
        <f t="shared" si="10"/>
        <v>402</v>
      </c>
      <c r="P105">
        <f t="shared" si="11"/>
        <v>312</v>
      </c>
      <c r="Q105" s="20">
        <f>Table1[[#This Row],[Profit ]]/Table1[[#This Row],[Total Revenue]]</f>
        <v>0.43697478991596639</v>
      </c>
    </row>
    <row r="106" spans="1:17" ht="15.75" thickBot="1" x14ac:dyDescent="0.3">
      <c r="A106" s="11">
        <v>46362</v>
      </c>
      <c r="B106" s="17" t="str">
        <f t="shared" si="6"/>
        <v>6362</v>
      </c>
      <c r="C106" s="17" t="str">
        <f t="shared" si="7"/>
        <v>62</v>
      </c>
      <c r="D106" s="17" t="str">
        <f t="shared" si="8"/>
        <v>Dec</v>
      </c>
      <c r="E106" s="5" t="s">
        <v>74</v>
      </c>
      <c r="F106" s="5" t="s">
        <v>90</v>
      </c>
      <c r="G106" s="5" t="s">
        <v>17</v>
      </c>
      <c r="H106" s="5" t="s">
        <v>138</v>
      </c>
      <c r="I106" s="5" t="s">
        <v>13</v>
      </c>
      <c r="J106" s="6">
        <v>9</v>
      </c>
      <c r="K106" s="5" t="s">
        <v>19</v>
      </c>
      <c r="L106" t="s">
        <v>204</v>
      </c>
      <c r="M106" t="str">
        <f>VLOOKUP(E106,Price!$A$2:$C$9,3,)</f>
        <v>$47.00</v>
      </c>
      <c r="N106">
        <f t="shared" si="9"/>
        <v>801</v>
      </c>
      <c r="O106">
        <f t="shared" si="10"/>
        <v>423</v>
      </c>
      <c r="P106">
        <f t="shared" si="11"/>
        <v>378</v>
      </c>
      <c r="Q106" s="20">
        <f>Table1[[#This Row],[Profit ]]/Table1[[#This Row],[Total Revenue]]</f>
        <v>0.47191011235955055</v>
      </c>
    </row>
    <row r="107" spans="1:17" ht="15.75" thickBot="1" x14ac:dyDescent="0.3">
      <c r="A107" s="10">
        <v>46181</v>
      </c>
      <c r="B107" s="16" t="str">
        <f t="shared" si="6"/>
        <v>6181</v>
      </c>
      <c r="C107" s="16" t="str">
        <f t="shared" si="7"/>
        <v>81</v>
      </c>
      <c r="D107" s="16" t="str">
        <f t="shared" si="8"/>
        <v>Dec</v>
      </c>
      <c r="E107" s="5" t="s">
        <v>80</v>
      </c>
      <c r="F107" s="5" t="s">
        <v>62</v>
      </c>
      <c r="G107" s="8" t="s">
        <v>43</v>
      </c>
      <c r="H107" s="5" t="s">
        <v>63</v>
      </c>
      <c r="I107" s="8" t="s">
        <v>33</v>
      </c>
      <c r="J107" s="9">
        <v>2</v>
      </c>
      <c r="K107" s="8" t="s">
        <v>50</v>
      </c>
      <c r="L107" t="s">
        <v>210</v>
      </c>
      <c r="M107" t="str">
        <f>VLOOKUP(E107,Price!$A$2:$C$9,3,)</f>
        <v>$39.00</v>
      </c>
      <c r="N107">
        <f t="shared" si="9"/>
        <v>152</v>
      </c>
      <c r="O107">
        <f t="shared" si="10"/>
        <v>78</v>
      </c>
      <c r="P107">
        <f t="shared" si="11"/>
        <v>74</v>
      </c>
      <c r="Q107" s="20">
        <f>Table1[[#This Row],[Profit ]]/Table1[[#This Row],[Total Revenue]]</f>
        <v>0.48684210526315791</v>
      </c>
    </row>
    <row r="108" spans="1:17" ht="15.75" thickBot="1" x14ac:dyDescent="0.3">
      <c r="A108" s="11" t="s">
        <v>128</v>
      </c>
      <c r="B108" s="17" t="str">
        <f t="shared" si="6"/>
        <v>2026</v>
      </c>
      <c r="C108" s="17" t="str">
        <f t="shared" si="7"/>
        <v>18</v>
      </c>
      <c r="D108" s="17" t="str">
        <f t="shared" si="8"/>
        <v>Jan</v>
      </c>
      <c r="E108" s="5" t="s">
        <v>140</v>
      </c>
      <c r="F108" s="5" t="s">
        <v>10</v>
      </c>
      <c r="G108" s="5" t="s">
        <v>43</v>
      </c>
      <c r="H108" s="5" t="s">
        <v>63</v>
      </c>
      <c r="I108" s="5" t="s">
        <v>47</v>
      </c>
      <c r="J108" s="6">
        <v>4</v>
      </c>
      <c r="K108" s="5" t="s">
        <v>42</v>
      </c>
      <c r="L108" t="s">
        <v>216</v>
      </c>
      <c r="M108" t="str">
        <f>VLOOKUP(E108,Price!$A$2:$C$9,3,)</f>
        <v>$64.00</v>
      </c>
      <c r="N108">
        <f t="shared" si="9"/>
        <v>448</v>
      </c>
      <c r="O108">
        <f t="shared" si="10"/>
        <v>256</v>
      </c>
      <c r="P108">
        <f t="shared" si="11"/>
        <v>192</v>
      </c>
      <c r="Q108" s="20">
        <f>Table1[[#This Row],[Profit ]]/Table1[[#This Row],[Total Revenue]]</f>
        <v>0.42857142857142855</v>
      </c>
    </row>
    <row r="109" spans="1:17" ht="15.75" thickBot="1" x14ac:dyDescent="0.3">
      <c r="A109" s="10">
        <v>46058</v>
      </c>
      <c r="B109" s="16" t="str">
        <f t="shared" si="6"/>
        <v>6058</v>
      </c>
      <c r="C109" s="16" t="str">
        <f t="shared" si="7"/>
        <v>58</v>
      </c>
      <c r="D109" s="16" t="str">
        <f t="shared" si="8"/>
        <v>Nov</v>
      </c>
      <c r="E109" s="5" t="s">
        <v>74</v>
      </c>
      <c r="F109" s="5" t="s">
        <v>10</v>
      </c>
      <c r="G109" s="8" t="s">
        <v>11</v>
      </c>
      <c r="H109" s="5" t="s">
        <v>63</v>
      </c>
      <c r="I109" s="8" t="s">
        <v>33</v>
      </c>
      <c r="J109" s="9">
        <v>15</v>
      </c>
      <c r="K109" s="8" t="s">
        <v>42</v>
      </c>
      <c r="L109" t="s">
        <v>204</v>
      </c>
      <c r="M109" t="str">
        <f>VLOOKUP(E109,Price!$A$2:$C$9,3,)</f>
        <v>$47.00</v>
      </c>
      <c r="N109">
        <f t="shared" si="9"/>
        <v>1335</v>
      </c>
      <c r="O109">
        <f t="shared" si="10"/>
        <v>705</v>
      </c>
      <c r="P109">
        <f t="shared" si="11"/>
        <v>630</v>
      </c>
      <c r="Q109" s="20">
        <f>Table1[[#This Row],[Profit ]]/Table1[[#This Row],[Total Revenue]]</f>
        <v>0.47191011235955055</v>
      </c>
    </row>
    <row r="110" spans="1:17" ht="15.75" thickBot="1" x14ac:dyDescent="0.3">
      <c r="A110" s="11" t="s">
        <v>29</v>
      </c>
      <c r="B110" s="17" t="str">
        <f t="shared" si="6"/>
        <v>2026</v>
      </c>
      <c r="C110" s="17" t="str">
        <f t="shared" si="7"/>
        <v>18</v>
      </c>
      <c r="D110" s="17" t="str">
        <f t="shared" si="8"/>
        <v>Apr</v>
      </c>
      <c r="E110" s="5" t="s">
        <v>80</v>
      </c>
      <c r="F110" s="5" t="s">
        <v>35</v>
      </c>
      <c r="G110" s="5" t="s">
        <v>11</v>
      </c>
      <c r="H110" s="5" t="s">
        <v>63</v>
      </c>
      <c r="I110" s="5" t="s">
        <v>41</v>
      </c>
      <c r="J110" s="6">
        <v>15</v>
      </c>
      <c r="K110" s="5" t="s">
        <v>14</v>
      </c>
      <c r="L110" t="s">
        <v>210</v>
      </c>
      <c r="M110" t="str">
        <f>VLOOKUP(E110,Price!$A$2:$C$9,3,)</f>
        <v>$39.00</v>
      </c>
      <c r="N110">
        <f t="shared" si="9"/>
        <v>1140</v>
      </c>
      <c r="O110">
        <f t="shared" si="10"/>
        <v>585</v>
      </c>
      <c r="P110">
        <f t="shared" si="11"/>
        <v>555</v>
      </c>
      <c r="Q110" s="20">
        <f>Table1[[#This Row],[Profit ]]/Table1[[#This Row],[Total Revenue]]</f>
        <v>0.48684210526315791</v>
      </c>
    </row>
    <row r="111" spans="1:17" ht="15.75" thickBot="1" x14ac:dyDescent="0.3">
      <c r="A111" s="10" t="s">
        <v>129</v>
      </c>
      <c r="B111" s="16" t="str">
        <f t="shared" si="6"/>
        <v>2026</v>
      </c>
      <c r="C111" s="16" t="str">
        <f t="shared" si="7"/>
        <v>21</v>
      </c>
      <c r="D111" s="16" t="str">
        <f t="shared" si="8"/>
        <v>Feb</v>
      </c>
      <c r="E111" s="5" t="s">
        <v>21</v>
      </c>
      <c r="F111" s="5" t="s">
        <v>10</v>
      </c>
      <c r="G111" s="8" t="s">
        <v>23</v>
      </c>
      <c r="H111" s="5" t="s">
        <v>52</v>
      </c>
      <c r="I111" s="8" t="s">
        <v>64</v>
      </c>
      <c r="J111" s="9">
        <v>8</v>
      </c>
      <c r="K111" s="8" t="s">
        <v>19</v>
      </c>
      <c r="L111" t="s">
        <v>208</v>
      </c>
      <c r="M111" t="str">
        <f>VLOOKUP(E111,Price!$A$2:$C$9,3,)</f>
        <v>$14.00</v>
      </c>
      <c r="N111">
        <f t="shared" si="9"/>
        <v>256</v>
      </c>
      <c r="O111">
        <f t="shared" si="10"/>
        <v>112</v>
      </c>
      <c r="P111">
        <f t="shared" si="11"/>
        <v>144</v>
      </c>
      <c r="Q111" s="20">
        <f>Table1[[#This Row],[Profit ]]/Table1[[#This Row],[Total Revenue]]</f>
        <v>0.5625</v>
      </c>
    </row>
    <row r="112" spans="1:17" ht="15.75" thickBot="1" x14ac:dyDescent="0.3">
      <c r="A112" s="11" t="s">
        <v>130</v>
      </c>
      <c r="B112" s="17" t="str">
        <f t="shared" si="6"/>
        <v>2026</v>
      </c>
      <c r="C112" s="17" t="str">
        <f t="shared" si="7"/>
        <v>20</v>
      </c>
      <c r="D112" s="17" t="str">
        <f t="shared" si="8"/>
        <v>Jun</v>
      </c>
      <c r="E112" s="5" t="s">
        <v>74</v>
      </c>
      <c r="F112" s="5" t="s">
        <v>62</v>
      </c>
      <c r="G112" s="5" t="s">
        <v>43</v>
      </c>
      <c r="H112" s="5" t="s">
        <v>12</v>
      </c>
      <c r="I112" s="5" t="s">
        <v>33</v>
      </c>
      <c r="J112" s="6">
        <v>7</v>
      </c>
      <c r="K112" s="5" t="s">
        <v>19</v>
      </c>
      <c r="L112" t="s">
        <v>204</v>
      </c>
      <c r="M112" t="str">
        <f>VLOOKUP(E112,Price!$A$2:$C$9,3,)</f>
        <v>$47.00</v>
      </c>
      <c r="N112">
        <f t="shared" si="9"/>
        <v>623</v>
      </c>
      <c r="O112">
        <f t="shared" si="10"/>
        <v>329</v>
      </c>
      <c r="P112">
        <f t="shared" si="11"/>
        <v>294</v>
      </c>
      <c r="Q112" s="20">
        <f>Table1[[#This Row],[Profit ]]/Table1[[#This Row],[Total Revenue]]</f>
        <v>0.47191011235955055</v>
      </c>
    </row>
    <row r="113" spans="1:17" ht="15.75" thickBot="1" x14ac:dyDescent="0.3">
      <c r="A113" s="10" t="s">
        <v>131</v>
      </c>
      <c r="B113" s="16" t="str">
        <f t="shared" si="6"/>
        <v>2026</v>
      </c>
      <c r="C113" s="16" t="str">
        <f t="shared" si="7"/>
        <v>25</v>
      </c>
      <c r="D113" s="16" t="str">
        <f t="shared" si="8"/>
        <v>Apr</v>
      </c>
      <c r="E113" s="5" t="s">
        <v>118</v>
      </c>
      <c r="F113" s="5" t="s">
        <v>62</v>
      </c>
      <c r="G113" s="8" t="s">
        <v>11</v>
      </c>
      <c r="H113" s="5" t="s">
        <v>52</v>
      </c>
      <c r="I113" s="8" t="s">
        <v>49</v>
      </c>
      <c r="J113" s="9">
        <v>8</v>
      </c>
      <c r="K113" s="8" t="s">
        <v>14</v>
      </c>
      <c r="L113" t="s">
        <v>218</v>
      </c>
      <c r="M113" t="str">
        <f>VLOOKUP(E113,Price!$A$2:$C$9,3,)</f>
        <v>$67.00</v>
      </c>
      <c r="N113">
        <f t="shared" si="9"/>
        <v>952</v>
      </c>
      <c r="O113">
        <f t="shared" si="10"/>
        <v>536</v>
      </c>
      <c r="P113">
        <f t="shared" si="11"/>
        <v>416</v>
      </c>
      <c r="Q113" s="20">
        <f>Table1[[#This Row],[Profit ]]/Table1[[#This Row],[Total Revenue]]</f>
        <v>0.43697478991596639</v>
      </c>
    </row>
    <row r="114" spans="1:17" ht="15.75" thickBot="1" x14ac:dyDescent="0.3">
      <c r="A114" s="11" t="s">
        <v>20</v>
      </c>
      <c r="B114" s="17" t="str">
        <f t="shared" si="6"/>
        <v>2026</v>
      </c>
      <c r="C114" s="17" t="str">
        <f t="shared" si="7"/>
        <v>30</v>
      </c>
      <c r="D114" s="17" t="str">
        <f t="shared" si="8"/>
        <v>May</v>
      </c>
      <c r="E114" s="5" t="s">
        <v>74</v>
      </c>
      <c r="F114" s="5" t="s">
        <v>10</v>
      </c>
      <c r="G114" s="5" t="s">
        <v>11</v>
      </c>
      <c r="H114" s="5" t="s">
        <v>67</v>
      </c>
      <c r="I114" s="5" t="s">
        <v>38</v>
      </c>
      <c r="J114" s="6">
        <v>13</v>
      </c>
      <c r="K114" s="5" t="s">
        <v>42</v>
      </c>
      <c r="L114" t="s">
        <v>204</v>
      </c>
      <c r="M114" t="str">
        <f>VLOOKUP(E114,Price!$A$2:$C$9,3,)</f>
        <v>$47.00</v>
      </c>
      <c r="N114">
        <f t="shared" si="9"/>
        <v>1157</v>
      </c>
      <c r="O114">
        <f t="shared" si="10"/>
        <v>611</v>
      </c>
      <c r="P114">
        <f t="shared" si="11"/>
        <v>546</v>
      </c>
      <c r="Q114" s="20">
        <f>Table1[[#This Row],[Profit ]]/Table1[[#This Row],[Total Revenue]]</f>
        <v>0.47191011235955055</v>
      </c>
    </row>
    <row r="115" spans="1:17" ht="15.75" thickBot="1" x14ac:dyDescent="0.3">
      <c r="A115" s="10" t="s">
        <v>113</v>
      </c>
      <c r="B115" s="16" t="str">
        <f t="shared" si="6"/>
        <v>2026</v>
      </c>
      <c r="C115" s="16" t="str">
        <f t="shared" si="7"/>
        <v>28</v>
      </c>
      <c r="D115" s="16" t="str">
        <f t="shared" si="8"/>
        <v>Feb</v>
      </c>
      <c r="E115" s="5" t="s">
        <v>72</v>
      </c>
      <c r="F115" s="5" t="s">
        <v>10</v>
      </c>
      <c r="G115" s="8" t="s">
        <v>23</v>
      </c>
      <c r="H115" s="5" t="s">
        <v>12</v>
      </c>
      <c r="I115" s="8" t="s">
        <v>33</v>
      </c>
      <c r="J115" s="9">
        <v>14</v>
      </c>
      <c r="K115" s="8" t="s">
        <v>14</v>
      </c>
      <c r="L115" t="s">
        <v>214</v>
      </c>
      <c r="M115" t="str">
        <f>VLOOKUP(E115,Price!$A$2:$C$9,3,)</f>
        <v>$58.00</v>
      </c>
      <c r="N115">
        <f t="shared" si="9"/>
        <v>1470</v>
      </c>
      <c r="O115">
        <f t="shared" si="10"/>
        <v>812</v>
      </c>
      <c r="P115">
        <f t="shared" si="11"/>
        <v>658</v>
      </c>
      <c r="Q115" s="20">
        <f>Table1[[#This Row],[Profit ]]/Table1[[#This Row],[Total Revenue]]</f>
        <v>0.44761904761904764</v>
      </c>
    </row>
    <row r="116" spans="1:17" ht="15.75" thickBot="1" x14ac:dyDescent="0.3">
      <c r="A116" s="11">
        <v>46361</v>
      </c>
      <c r="B116" s="17" t="str">
        <f t="shared" si="6"/>
        <v>6361</v>
      </c>
      <c r="C116" s="17" t="str">
        <f t="shared" si="7"/>
        <v>61</v>
      </c>
      <c r="D116" s="17" t="str">
        <f t="shared" si="8"/>
        <v>Nov</v>
      </c>
      <c r="E116" s="5" t="s">
        <v>74</v>
      </c>
      <c r="F116" s="5" t="s">
        <v>10</v>
      </c>
      <c r="G116" s="5" t="s">
        <v>23</v>
      </c>
      <c r="H116" s="5" t="s">
        <v>52</v>
      </c>
      <c r="I116" s="5" t="s">
        <v>103</v>
      </c>
      <c r="J116" s="6">
        <v>12</v>
      </c>
      <c r="K116" s="5" t="s">
        <v>42</v>
      </c>
      <c r="L116" t="s">
        <v>204</v>
      </c>
      <c r="M116" t="str">
        <f>VLOOKUP(E116,Price!$A$2:$C$9,3,)</f>
        <v>$47.00</v>
      </c>
      <c r="N116">
        <f t="shared" si="9"/>
        <v>1068</v>
      </c>
      <c r="O116">
        <f t="shared" si="10"/>
        <v>564</v>
      </c>
      <c r="P116">
        <f t="shared" si="11"/>
        <v>504</v>
      </c>
      <c r="Q116" s="20">
        <f>Table1[[#This Row],[Profit ]]/Table1[[#This Row],[Total Revenue]]</f>
        <v>0.47191011235955055</v>
      </c>
    </row>
    <row r="117" spans="1:17" ht="15.75" thickBot="1" x14ac:dyDescent="0.3">
      <c r="A117" s="10" t="s">
        <v>132</v>
      </c>
      <c r="B117" s="16" t="str">
        <f t="shared" si="6"/>
        <v>2026</v>
      </c>
      <c r="C117" s="16" t="str">
        <f t="shared" si="7"/>
        <v>22</v>
      </c>
      <c r="D117" s="16" t="str">
        <f t="shared" si="8"/>
        <v>Feb</v>
      </c>
      <c r="E117" s="5" t="s">
        <v>34</v>
      </c>
      <c r="F117" s="5" t="s">
        <v>90</v>
      </c>
      <c r="G117" s="8" t="s">
        <v>23</v>
      </c>
      <c r="H117" s="5" t="s">
        <v>52</v>
      </c>
      <c r="I117" s="8" t="s">
        <v>53</v>
      </c>
      <c r="J117" s="9">
        <v>10</v>
      </c>
      <c r="K117" s="8" t="s">
        <v>19</v>
      </c>
      <c r="L117" t="s">
        <v>212</v>
      </c>
      <c r="M117" t="str">
        <f>VLOOKUP(E117,Price!$A$2:$C$9,3,)</f>
        <v>$72.00</v>
      </c>
      <c r="N117">
        <f t="shared" si="9"/>
        <v>1280</v>
      </c>
      <c r="O117">
        <f t="shared" si="10"/>
        <v>720</v>
      </c>
      <c r="P117">
        <f t="shared" si="11"/>
        <v>560</v>
      </c>
      <c r="Q117" s="20">
        <f>Table1[[#This Row],[Profit ]]/Table1[[#This Row],[Total Revenue]]</f>
        <v>0.4375</v>
      </c>
    </row>
    <row r="118" spans="1:17" ht="15.75" thickBot="1" x14ac:dyDescent="0.3">
      <c r="A118" s="11">
        <v>46117</v>
      </c>
      <c r="B118" s="17" t="str">
        <f t="shared" si="6"/>
        <v>6117</v>
      </c>
      <c r="C118" s="17" t="str">
        <f t="shared" si="7"/>
        <v>17</v>
      </c>
      <c r="D118" s="17" t="str">
        <f t="shared" si="8"/>
        <v>Oct</v>
      </c>
      <c r="E118" s="5" t="s">
        <v>140</v>
      </c>
      <c r="F118" s="5" t="s">
        <v>10</v>
      </c>
      <c r="G118" s="5" t="s">
        <v>36</v>
      </c>
      <c r="H118" s="5" t="s">
        <v>52</v>
      </c>
      <c r="I118" s="5" t="s">
        <v>64</v>
      </c>
      <c r="J118" s="6">
        <v>6</v>
      </c>
      <c r="K118" s="5" t="s">
        <v>19</v>
      </c>
      <c r="L118" t="s">
        <v>216</v>
      </c>
      <c r="M118" t="str">
        <f>VLOOKUP(E118,Price!$A$2:$C$9,3,)</f>
        <v>$64.00</v>
      </c>
      <c r="N118">
        <f t="shared" si="9"/>
        <v>672</v>
      </c>
      <c r="O118">
        <f t="shared" si="10"/>
        <v>384</v>
      </c>
      <c r="P118">
        <f t="shared" si="11"/>
        <v>288</v>
      </c>
      <c r="Q118" s="20">
        <f>Table1[[#This Row],[Profit ]]/Table1[[#This Row],[Total Revenue]]</f>
        <v>0.42857142857142855</v>
      </c>
    </row>
    <row r="119" spans="1:17" ht="15.75" thickBot="1" x14ac:dyDescent="0.3">
      <c r="A119" s="10" t="s">
        <v>114</v>
      </c>
      <c r="B119" s="16" t="str">
        <f t="shared" si="6"/>
        <v>2026</v>
      </c>
      <c r="C119" s="16" t="str">
        <f t="shared" si="7"/>
        <v>24</v>
      </c>
      <c r="D119" s="16" t="str">
        <f t="shared" si="8"/>
        <v>Jun</v>
      </c>
      <c r="E119" s="5" t="s">
        <v>74</v>
      </c>
      <c r="F119" s="5" t="s">
        <v>90</v>
      </c>
      <c r="G119" s="8" t="s">
        <v>43</v>
      </c>
      <c r="H119" s="5" t="s">
        <v>63</v>
      </c>
      <c r="I119" s="8" t="s">
        <v>13</v>
      </c>
      <c r="J119" s="9">
        <v>13</v>
      </c>
      <c r="K119" s="8" t="s">
        <v>19</v>
      </c>
      <c r="L119" t="s">
        <v>204</v>
      </c>
      <c r="M119" t="str">
        <f>VLOOKUP(E119,Price!$A$2:$C$9,3,)</f>
        <v>$47.00</v>
      </c>
      <c r="N119">
        <f t="shared" si="9"/>
        <v>1157</v>
      </c>
      <c r="O119">
        <f t="shared" si="10"/>
        <v>611</v>
      </c>
      <c r="P119">
        <f t="shared" si="11"/>
        <v>546</v>
      </c>
      <c r="Q119" s="20">
        <f>Table1[[#This Row],[Profit ]]/Table1[[#This Row],[Total Revenue]]</f>
        <v>0.47191011235955055</v>
      </c>
    </row>
    <row r="120" spans="1:17" ht="15.75" thickBot="1" x14ac:dyDescent="0.3">
      <c r="A120" s="11" t="s">
        <v>126</v>
      </c>
      <c r="B120" s="17" t="str">
        <f t="shared" si="6"/>
        <v>2026</v>
      </c>
      <c r="C120" s="17" t="str">
        <f t="shared" si="7"/>
        <v>20</v>
      </c>
      <c r="D120" s="17" t="str">
        <f t="shared" si="8"/>
        <v>Mar</v>
      </c>
      <c r="E120" s="5" t="s">
        <v>21</v>
      </c>
      <c r="F120" s="5" t="s">
        <v>10</v>
      </c>
      <c r="G120" s="5" t="s">
        <v>23</v>
      </c>
      <c r="H120" s="5" t="s">
        <v>52</v>
      </c>
      <c r="I120" s="5" t="s">
        <v>25</v>
      </c>
      <c r="J120" s="6">
        <v>4</v>
      </c>
      <c r="K120" s="5" t="s">
        <v>50</v>
      </c>
      <c r="L120" t="s">
        <v>208</v>
      </c>
      <c r="M120" t="str">
        <f>VLOOKUP(E120,Price!$A$2:$C$9,3,)</f>
        <v>$14.00</v>
      </c>
      <c r="N120">
        <f t="shared" si="9"/>
        <v>128</v>
      </c>
      <c r="O120">
        <f t="shared" si="10"/>
        <v>56</v>
      </c>
      <c r="P120">
        <f t="shared" si="11"/>
        <v>72</v>
      </c>
      <c r="Q120" s="20">
        <f>Table1[[#This Row],[Profit ]]/Table1[[#This Row],[Total Revenue]]</f>
        <v>0.5625</v>
      </c>
    </row>
    <row r="121" spans="1:17" ht="15.75" thickBot="1" x14ac:dyDescent="0.3">
      <c r="A121" s="10" t="s">
        <v>68</v>
      </c>
      <c r="B121" s="16" t="str">
        <f t="shared" si="6"/>
        <v>2026</v>
      </c>
      <c r="C121" s="16" t="str">
        <f t="shared" si="7"/>
        <v>20</v>
      </c>
      <c r="D121" s="16" t="str">
        <f t="shared" si="8"/>
        <v>May</v>
      </c>
      <c r="E121" s="5" t="s">
        <v>80</v>
      </c>
      <c r="F121" s="5" t="s">
        <v>10</v>
      </c>
      <c r="G121" s="8" t="s">
        <v>17</v>
      </c>
      <c r="H121" s="5" t="s">
        <v>52</v>
      </c>
      <c r="I121" s="8" t="s">
        <v>33</v>
      </c>
      <c r="J121" s="9">
        <v>12</v>
      </c>
      <c r="K121" s="8" t="s">
        <v>14</v>
      </c>
      <c r="L121" t="s">
        <v>210</v>
      </c>
      <c r="M121" t="str">
        <f>VLOOKUP(E121,Price!$A$2:$C$9,3,)</f>
        <v>$39.00</v>
      </c>
      <c r="N121">
        <f t="shared" si="9"/>
        <v>912</v>
      </c>
      <c r="O121">
        <f t="shared" si="10"/>
        <v>468</v>
      </c>
      <c r="P121">
        <f t="shared" si="11"/>
        <v>444</v>
      </c>
      <c r="Q121" s="20">
        <f>Table1[[#This Row],[Profit ]]/Table1[[#This Row],[Total Revenue]]</f>
        <v>0.48684210526315791</v>
      </c>
    </row>
    <row r="122" spans="1:17" ht="15.75" thickBot="1" x14ac:dyDescent="0.3">
      <c r="A122" s="11" t="s">
        <v>133</v>
      </c>
      <c r="B122" s="17" t="str">
        <f t="shared" si="6"/>
        <v>2026</v>
      </c>
      <c r="C122" s="17" t="str">
        <f t="shared" si="7"/>
        <v>14</v>
      </c>
      <c r="D122" s="17" t="str">
        <f t="shared" si="8"/>
        <v>Aug</v>
      </c>
      <c r="E122" s="5" t="s">
        <v>74</v>
      </c>
      <c r="F122" s="5" t="s">
        <v>10</v>
      </c>
      <c r="G122" s="5" t="s">
        <v>23</v>
      </c>
      <c r="H122" s="5" t="s">
        <v>63</v>
      </c>
      <c r="I122" s="5" t="s">
        <v>41</v>
      </c>
      <c r="J122" s="6">
        <v>5</v>
      </c>
      <c r="K122" s="5" t="s">
        <v>50</v>
      </c>
      <c r="L122" t="s">
        <v>204</v>
      </c>
      <c r="M122" t="str">
        <f>VLOOKUP(E122,Price!$A$2:$C$9,3,)</f>
        <v>$47.00</v>
      </c>
      <c r="N122">
        <f t="shared" si="9"/>
        <v>445</v>
      </c>
      <c r="O122">
        <f t="shared" si="10"/>
        <v>235</v>
      </c>
      <c r="P122">
        <f t="shared" si="11"/>
        <v>210</v>
      </c>
      <c r="Q122" s="20">
        <f>Table1[[#This Row],[Profit ]]/Table1[[#This Row],[Total Revenue]]</f>
        <v>0.47191011235955055</v>
      </c>
    </row>
    <row r="123" spans="1:17" ht="15.75" thickBot="1" x14ac:dyDescent="0.3">
      <c r="A123" s="10" t="s">
        <v>134</v>
      </c>
      <c r="B123" s="16" t="str">
        <f t="shared" si="6"/>
        <v>2026</v>
      </c>
      <c r="C123" s="16" t="str">
        <f t="shared" si="7"/>
        <v>27</v>
      </c>
      <c r="D123" s="16" t="str">
        <f t="shared" si="8"/>
        <v>Jan</v>
      </c>
      <c r="E123" s="5" t="s">
        <v>97</v>
      </c>
      <c r="F123" s="5" t="s">
        <v>35</v>
      </c>
      <c r="G123" s="8" t="s">
        <v>11</v>
      </c>
      <c r="H123" s="5" t="s">
        <v>12</v>
      </c>
      <c r="I123" s="8" t="s">
        <v>49</v>
      </c>
      <c r="J123" s="9">
        <v>7</v>
      </c>
      <c r="K123" s="8" t="s">
        <v>14</v>
      </c>
      <c r="L123" t="s">
        <v>206</v>
      </c>
      <c r="M123" t="str">
        <f>VLOOKUP(E123,Price!$A$2:$C$9,3,)</f>
        <v>$28.00</v>
      </c>
      <c r="N123">
        <f t="shared" si="9"/>
        <v>378</v>
      </c>
      <c r="O123">
        <f t="shared" si="10"/>
        <v>196</v>
      </c>
      <c r="P123">
        <f t="shared" si="11"/>
        <v>182</v>
      </c>
      <c r="Q123" s="20">
        <f>Table1[[#This Row],[Profit ]]/Table1[[#This Row],[Total Revenue]]</f>
        <v>0.48148148148148145</v>
      </c>
    </row>
    <row r="124" spans="1:17" ht="15.75" thickBot="1" x14ac:dyDescent="0.3">
      <c r="A124" s="11" t="s">
        <v>135</v>
      </c>
      <c r="B124" s="17" t="str">
        <f t="shared" si="6"/>
        <v>2026</v>
      </c>
      <c r="C124" s="17" t="str">
        <f t="shared" si="7"/>
        <v>17</v>
      </c>
      <c r="D124" s="17" t="str">
        <f t="shared" si="8"/>
        <v>Jun</v>
      </c>
      <c r="E124" s="5" t="s">
        <v>97</v>
      </c>
      <c r="F124" s="5" t="s">
        <v>10</v>
      </c>
      <c r="G124" s="5" t="s">
        <v>43</v>
      </c>
      <c r="H124" s="5" t="s">
        <v>138</v>
      </c>
      <c r="I124" s="5" t="s">
        <v>33</v>
      </c>
      <c r="J124" s="6">
        <v>15</v>
      </c>
      <c r="K124" s="5" t="s">
        <v>14</v>
      </c>
      <c r="L124" t="s">
        <v>206</v>
      </c>
      <c r="M124" t="str">
        <f>VLOOKUP(E124,Price!$A$2:$C$9,3,)</f>
        <v>$28.00</v>
      </c>
      <c r="N124">
        <f t="shared" si="9"/>
        <v>810</v>
      </c>
      <c r="O124">
        <f t="shared" si="10"/>
        <v>420</v>
      </c>
      <c r="P124">
        <f t="shared" si="11"/>
        <v>390</v>
      </c>
      <c r="Q124" s="20">
        <f>Table1[[#This Row],[Profit ]]/Table1[[#This Row],[Total Revenue]]</f>
        <v>0.48148148148148145</v>
      </c>
    </row>
    <row r="125" spans="1:17" ht="15.75" thickBot="1" x14ac:dyDescent="0.3">
      <c r="A125" s="10">
        <v>46059</v>
      </c>
      <c r="B125" s="16" t="str">
        <f t="shared" si="6"/>
        <v>6059</v>
      </c>
      <c r="C125" s="16" t="str">
        <f t="shared" si="7"/>
        <v>59</v>
      </c>
      <c r="D125" s="16" t="str">
        <f t="shared" si="8"/>
        <v>Nov</v>
      </c>
      <c r="E125" s="5" t="s">
        <v>72</v>
      </c>
      <c r="F125" s="5" t="s">
        <v>10</v>
      </c>
      <c r="G125" s="8" t="s">
        <v>11</v>
      </c>
      <c r="H125" s="5" t="s">
        <v>52</v>
      </c>
      <c r="I125" s="8" t="s">
        <v>53</v>
      </c>
      <c r="J125" s="9">
        <v>15</v>
      </c>
      <c r="K125" s="8" t="s">
        <v>14</v>
      </c>
      <c r="L125" t="s">
        <v>214</v>
      </c>
      <c r="M125" t="str">
        <f>VLOOKUP(E125,Price!$A$2:$C$9,3,)</f>
        <v>$58.00</v>
      </c>
      <c r="N125">
        <f t="shared" si="9"/>
        <v>1575</v>
      </c>
      <c r="O125">
        <f t="shared" si="10"/>
        <v>870</v>
      </c>
      <c r="P125">
        <f t="shared" si="11"/>
        <v>705</v>
      </c>
      <c r="Q125" s="20">
        <f>Table1[[#This Row],[Profit ]]/Table1[[#This Row],[Total Revenue]]</f>
        <v>0.44761904761904764</v>
      </c>
    </row>
    <row r="126" spans="1:17" ht="15.75" thickBot="1" x14ac:dyDescent="0.3">
      <c r="A126" s="11" t="s">
        <v>77</v>
      </c>
      <c r="B126" s="17" t="str">
        <f t="shared" si="6"/>
        <v>2026</v>
      </c>
      <c r="C126" s="17" t="str">
        <f t="shared" si="7"/>
        <v>28</v>
      </c>
      <c r="D126" s="17" t="str">
        <f t="shared" si="8"/>
        <v>Jan</v>
      </c>
      <c r="E126" s="5" t="s">
        <v>21</v>
      </c>
      <c r="F126" s="5" t="s">
        <v>10</v>
      </c>
      <c r="G126" s="5" t="s">
        <v>11</v>
      </c>
      <c r="H126" s="5" t="s">
        <v>52</v>
      </c>
      <c r="I126" s="5" t="s">
        <v>64</v>
      </c>
      <c r="J126" s="6">
        <v>5</v>
      </c>
      <c r="K126" s="5" t="s">
        <v>14</v>
      </c>
      <c r="L126" t="s">
        <v>208</v>
      </c>
      <c r="M126" t="str">
        <f>VLOOKUP(E126,Price!$A$2:$C$9,3,)</f>
        <v>$14.00</v>
      </c>
      <c r="N126">
        <f t="shared" si="9"/>
        <v>160</v>
      </c>
      <c r="O126">
        <f t="shared" si="10"/>
        <v>70</v>
      </c>
      <c r="P126">
        <f t="shared" si="11"/>
        <v>90</v>
      </c>
      <c r="Q126" s="20">
        <f>Table1[[#This Row],[Profit ]]/Table1[[#This Row],[Total Revenue]]</f>
        <v>0.5625</v>
      </c>
    </row>
    <row r="127" spans="1:17" ht="15.75" thickBot="1" x14ac:dyDescent="0.3">
      <c r="A127" s="10">
        <v>46060</v>
      </c>
      <c r="B127" s="16" t="str">
        <f t="shared" si="6"/>
        <v>6060</v>
      </c>
      <c r="C127" s="16" t="str">
        <f t="shared" si="7"/>
        <v>60</v>
      </c>
      <c r="D127" s="16" t="str">
        <f t="shared" si="8"/>
        <v>Nov</v>
      </c>
      <c r="E127" s="5" t="s">
        <v>118</v>
      </c>
      <c r="F127" s="5" t="s">
        <v>62</v>
      </c>
      <c r="G127" s="8" t="s">
        <v>36</v>
      </c>
      <c r="H127" s="5" t="s">
        <v>67</v>
      </c>
      <c r="I127" s="8" t="s">
        <v>86</v>
      </c>
      <c r="J127" s="9">
        <v>3</v>
      </c>
      <c r="K127" s="8" t="s">
        <v>42</v>
      </c>
      <c r="L127" t="s">
        <v>218</v>
      </c>
      <c r="M127" t="str">
        <f>VLOOKUP(E127,Price!$A$2:$C$9,3,)</f>
        <v>$67.00</v>
      </c>
      <c r="N127">
        <f t="shared" si="9"/>
        <v>357</v>
      </c>
      <c r="O127">
        <f t="shared" si="10"/>
        <v>201</v>
      </c>
      <c r="P127">
        <f t="shared" si="11"/>
        <v>156</v>
      </c>
      <c r="Q127" s="20">
        <f>Table1[[#This Row],[Profit ]]/Table1[[#This Row],[Total Revenue]]</f>
        <v>0.43697478991596639</v>
      </c>
    </row>
    <row r="128" spans="1:17" ht="15.75" thickBot="1" x14ac:dyDescent="0.3">
      <c r="A128" s="11">
        <v>46269</v>
      </c>
      <c r="B128" s="17" t="str">
        <f t="shared" si="6"/>
        <v>6269</v>
      </c>
      <c r="C128" s="17" t="str">
        <f t="shared" si="7"/>
        <v>69</v>
      </c>
      <c r="D128" s="17" t="str">
        <f t="shared" si="8"/>
        <v>Dec</v>
      </c>
      <c r="E128" s="5" t="s">
        <v>72</v>
      </c>
      <c r="F128" s="5" t="s">
        <v>10</v>
      </c>
      <c r="G128" s="5" t="s">
        <v>36</v>
      </c>
      <c r="H128" s="5" t="s">
        <v>12</v>
      </c>
      <c r="I128" s="5" t="s">
        <v>13</v>
      </c>
      <c r="J128" s="6">
        <v>14</v>
      </c>
      <c r="K128" s="5" t="s">
        <v>42</v>
      </c>
      <c r="L128" t="s">
        <v>214</v>
      </c>
      <c r="M128" t="str">
        <f>VLOOKUP(E128,Price!$A$2:$C$9,3,)</f>
        <v>$58.00</v>
      </c>
      <c r="N128">
        <f t="shared" si="9"/>
        <v>1470</v>
      </c>
      <c r="O128">
        <f t="shared" si="10"/>
        <v>812</v>
      </c>
      <c r="P128">
        <f t="shared" si="11"/>
        <v>658</v>
      </c>
      <c r="Q128" s="20">
        <f>Table1[[#This Row],[Profit ]]/Table1[[#This Row],[Total Revenue]]</f>
        <v>0.44761904761904764</v>
      </c>
    </row>
    <row r="129" spans="1:17" ht="15.75" thickBot="1" x14ac:dyDescent="0.3">
      <c r="A129" s="10">
        <v>46083</v>
      </c>
      <c r="B129" s="16" t="str">
        <f t="shared" si="6"/>
        <v>6083</v>
      </c>
      <c r="C129" s="16" t="str">
        <f t="shared" si="7"/>
        <v>83</v>
      </c>
      <c r="D129" s="16" t="str">
        <f t="shared" si="8"/>
        <v>Dec</v>
      </c>
      <c r="E129" s="5" t="s">
        <v>140</v>
      </c>
      <c r="F129" s="5" t="s">
        <v>10</v>
      </c>
      <c r="G129" s="8" t="s">
        <v>17</v>
      </c>
      <c r="H129" s="5" t="s">
        <v>52</v>
      </c>
      <c r="I129" s="8" t="s">
        <v>56</v>
      </c>
      <c r="J129" s="9">
        <v>7</v>
      </c>
      <c r="K129" s="8" t="s">
        <v>42</v>
      </c>
      <c r="L129" t="s">
        <v>216</v>
      </c>
      <c r="M129" t="str">
        <f>VLOOKUP(E129,Price!$A$2:$C$9,3,)</f>
        <v>$64.00</v>
      </c>
      <c r="N129">
        <f t="shared" si="9"/>
        <v>784</v>
      </c>
      <c r="O129">
        <f t="shared" si="10"/>
        <v>448</v>
      </c>
      <c r="P129">
        <f t="shared" si="11"/>
        <v>336</v>
      </c>
      <c r="Q129" s="20">
        <f>Table1[[#This Row],[Profit ]]/Table1[[#This Row],[Total Revenue]]</f>
        <v>0.42857142857142855</v>
      </c>
    </row>
    <row r="130" spans="1:17" ht="15.75" thickBot="1" x14ac:dyDescent="0.3">
      <c r="A130" s="11" t="s">
        <v>136</v>
      </c>
      <c r="B130" s="17" t="str">
        <f t="shared" ref="B130:B193" si="12">RIGHT(TRIM(A130), 4)</f>
        <v>2026</v>
      </c>
      <c r="C130" s="17" t="str">
        <f t="shared" ref="C130:C193" si="13">MID(TRIM(A130), 4, 2)</f>
        <v>19</v>
      </c>
      <c r="D130" s="17" t="str">
        <f t="shared" ref="D130:D193" si="14">TEXT(DATE(RIGHT(TRIM(A130), 4), LEFT(TRIM(A130), 2), MID(TRIM(A130), 4, 2)), "mmm")</f>
        <v>Jul</v>
      </c>
      <c r="E130" s="5" t="s">
        <v>21</v>
      </c>
      <c r="F130" s="5" t="s">
        <v>35</v>
      </c>
      <c r="G130" s="5" t="s">
        <v>43</v>
      </c>
      <c r="H130" s="5" t="s">
        <v>63</v>
      </c>
      <c r="I130" s="5" t="s">
        <v>28</v>
      </c>
      <c r="J130" s="6">
        <v>8</v>
      </c>
      <c r="K130" s="5" t="s">
        <v>42</v>
      </c>
      <c r="L130" t="s">
        <v>208</v>
      </c>
      <c r="M130" t="str">
        <f>VLOOKUP(E130,Price!$A$2:$C$9,3,)</f>
        <v>$14.00</v>
      </c>
      <c r="N130">
        <f t="shared" si="9"/>
        <v>256</v>
      </c>
      <c r="O130">
        <f t="shared" si="10"/>
        <v>112</v>
      </c>
      <c r="P130">
        <f t="shared" si="11"/>
        <v>144</v>
      </c>
      <c r="Q130" s="20">
        <f>Table1[[#This Row],[Profit ]]/Table1[[#This Row],[Total Revenue]]</f>
        <v>0.5625</v>
      </c>
    </row>
    <row r="131" spans="1:17" ht="15.75" thickBot="1" x14ac:dyDescent="0.3">
      <c r="A131" s="10">
        <v>46210</v>
      </c>
      <c r="B131" s="16" t="str">
        <f t="shared" si="12"/>
        <v>6210</v>
      </c>
      <c r="C131" s="16" t="str">
        <f t="shared" si="13"/>
        <v>10</v>
      </c>
      <c r="D131" s="16" t="str">
        <f t="shared" si="14"/>
        <v>Oct</v>
      </c>
      <c r="E131" s="5" t="s">
        <v>80</v>
      </c>
      <c r="F131" s="5" t="s">
        <v>10</v>
      </c>
      <c r="G131" s="8" t="s">
        <v>23</v>
      </c>
      <c r="H131" s="5" t="s">
        <v>63</v>
      </c>
      <c r="I131" s="8" t="s">
        <v>28</v>
      </c>
      <c r="J131" s="9">
        <v>3</v>
      </c>
      <c r="K131" s="8" t="s">
        <v>19</v>
      </c>
      <c r="L131" t="s">
        <v>210</v>
      </c>
      <c r="M131" t="str">
        <f>VLOOKUP(E131,Price!$A$2:$C$9,3,)</f>
        <v>$39.00</v>
      </c>
      <c r="N131">
        <f t="shared" ref="N131:N194" si="15">J131 * VALUE(SUBSTITUTE(L131,"$",""))</f>
        <v>228</v>
      </c>
      <c r="O131">
        <f t="shared" ref="O131:O194" si="16">J131*VALUE(SUBSTITUTE(M131,"$",""))</f>
        <v>117</v>
      </c>
      <c r="P131">
        <f t="shared" ref="P131:P194" si="17">N131-O131</f>
        <v>111</v>
      </c>
      <c r="Q131" s="20">
        <f>Table1[[#This Row],[Profit ]]/Table1[[#This Row],[Total Revenue]]</f>
        <v>0.48684210526315791</v>
      </c>
    </row>
    <row r="132" spans="1:17" ht="15.75" thickBot="1" x14ac:dyDescent="0.3">
      <c r="A132" s="11">
        <v>46358</v>
      </c>
      <c r="B132" s="17" t="str">
        <f t="shared" si="12"/>
        <v>6358</v>
      </c>
      <c r="C132" s="17" t="str">
        <f t="shared" si="13"/>
        <v>58</v>
      </c>
      <c r="D132" s="17" t="str">
        <f t="shared" si="14"/>
        <v>Nov</v>
      </c>
      <c r="E132" s="5" t="s">
        <v>72</v>
      </c>
      <c r="F132" s="5" t="s">
        <v>10</v>
      </c>
      <c r="G132" s="5" t="s">
        <v>43</v>
      </c>
      <c r="H132" s="5" t="s">
        <v>63</v>
      </c>
      <c r="I132" s="5" t="s">
        <v>103</v>
      </c>
      <c r="J132" s="6">
        <v>10</v>
      </c>
      <c r="K132" s="5" t="s">
        <v>19</v>
      </c>
      <c r="L132" t="s">
        <v>214</v>
      </c>
      <c r="M132" t="str">
        <f>VLOOKUP(E132,Price!$A$2:$C$9,3,)</f>
        <v>$58.00</v>
      </c>
      <c r="N132">
        <f t="shared" si="15"/>
        <v>1050</v>
      </c>
      <c r="O132">
        <f t="shared" si="16"/>
        <v>580</v>
      </c>
      <c r="P132">
        <f t="shared" si="17"/>
        <v>470</v>
      </c>
      <c r="Q132" s="20">
        <f>Table1[[#This Row],[Profit ]]/Table1[[#This Row],[Total Revenue]]</f>
        <v>0.44761904761904764</v>
      </c>
    </row>
    <row r="133" spans="1:17" ht="15.75" thickBot="1" x14ac:dyDescent="0.3">
      <c r="A133" s="10">
        <v>46082</v>
      </c>
      <c r="B133" s="16" t="str">
        <f t="shared" si="12"/>
        <v>6082</v>
      </c>
      <c r="C133" s="16" t="str">
        <f t="shared" si="13"/>
        <v>82</v>
      </c>
      <c r="D133" s="16" t="str">
        <f t="shared" si="14"/>
        <v>Dec</v>
      </c>
      <c r="E133" s="5" t="s">
        <v>21</v>
      </c>
      <c r="F133" s="5" t="s">
        <v>10</v>
      </c>
      <c r="G133" s="8" t="s">
        <v>11</v>
      </c>
      <c r="H133" s="5" t="s">
        <v>52</v>
      </c>
      <c r="I133" s="8" t="s">
        <v>64</v>
      </c>
      <c r="J133" s="9">
        <v>15</v>
      </c>
      <c r="K133" s="8" t="s">
        <v>50</v>
      </c>
      <c r="L133" t="s">
        <v>208</v>
      </c>
      <c r="M133" t="str">
        <f>VLOOKUP(E133,Price!$A$2:$C$9,3,)</f>
        <v>$14.00</v>
      </c>
      <c r="N133">
        <f t="shared" si="15"/>
        <v>480</v>
      </c>
      <c r="O133">
        <f t="shared" si="16"/>
        <v>210</v>
      </c>
      <c r="P133">
        <f t="shared" si="17"/>
        <v>270</v>
      </c>
      <c r="Q133" s="20">
        <f>Table1[[#This Row],[Profit ]]/Table1[[#This Row],[Total Revenue]]</f>
        <v>0.5625</v>
      </c>
    </row>
    <row r="134" spans="1:17" ht="15.75" thickBot="1" x14ac:dyDescent="0.3">
      <c r="A134" s="11" t="s">
        <v>137</v>
      </c>
      <c r="B134" s="17" t="str">
        <f t="shared" si="12"/>
        <v>2026</v>
      </c>
      <c r="C134" s="17" t="str">
        <f t="shared" si="13"/>
        <v>21</v>
      </c>
      <c r="D134" s="17" t="str">
        <f t="shared" si="14"/>
        <v>May</v>
      </c>
      <c r="E134" s="5" t="s">
        <v>97</v>
      </c>
      <c r="F134" s="5" t="s">
        <v>10</v>
      </c>
      <c r="G134" s="5" t="s">
        <v>23</v>
      </c>
      <c r="H134" s="5" t="s">
        <v>138</v>
      </c>
      <c r="I134" s="5" t="s">
        <v>103</v>
      </c>
      <c r="J134" s="6">
        <v>8</v>
      </c>
      <c r="K134" s="5" t="s">
        <v>42</v>
      </c>
      <c r="L134" t="s">
        <v>206</v>
      </c>
      <c r="M134" t="str">
        <f>VLOOKUP(E134,Price!$A$2:$C$9,3,)</f>
        <v>$28.00</v>
      </c>
      <c r="N134">
        <f t="shared" si="15"/>
        <v>432</v>
      </c>
      <c r="O134">
        <f t="shared" si="16"/>
        <v>224</v>
      </c>
      <c r="P134">
        <f t="shared" si="17"/>
        <v>208</v>
      </c>
      <c r="Q134" s="20">
        <f>Table1[[#This Row],[Profit ]]/Table1[[#This Row],[Total Revenue]]</f>
        <v>0.48148148148148145</v>
      </c>
    </row>
    <row r="135" spans="1:17" ht="15.75" thickBot="1" x14ac:dyDescent="0.3">
      <c r="A135" s="10" t="s">
        <v>139</v>
      </c>
      <c r="B135" s="16" t="str">
        <f t="shared" si="12"/>
        <v>2026</v>
      </c>
      <c r="C135" s="16" t="str">
        <f t="shared" si="13"/>
        <v>30</v>
      </c>
      <c r="D135" s="16" t="str">
        <f t="shared" si="14"/>
        <v>Jul</v>
      </c>
      <c r="E135" s="5" t="s">
        <v>80</v>
      </c>
      <c r="F135" s="5" t="s">
        <v>62</v>
      </c>
      <c r="G135" s="8" t="s">
        <v>23</v>
      </c>
      <c r="H135" s="5" t="s">
        <v>67</v>
      </c>
      <c r="I135" s="8" t="s">
        <v>49</v>
      </c>
      <c r="J135" s="9">
        <v>9</v>
      </c>
      <c r="K135" s="8" t="s">
        <v>50</v>
      </c>
      <c r="L135" t="s">
        <v>210</v>
      </c>
      <c r="M135" t="str">
        <f>VLOOKUP(E135,Price!$A$2:$C$9,3,)</f>
        <v>$39.00</v>
      </c>
      <c r="N135">
        <f t="shared" si="15"/>
        <v>684</v>
      </c>
      <c r="O135">
        <f t="shared" si="16"/>
        <v>351</v>
      </c>
      <c r="P135">
        <f t="shared" si="17"/>
        <v>333</v>
      </c>
      <c r="Q135" s="20">
        <f>Table1[[#This Row],[Profit ]]/Table1[[#This Row],[Total Revenue]]</f>
        <v>0.48684210526315791</v>
      </c>
    </row>
    <row r="136" spans="1:17" ht="15.75" thickBot="1" x14ac:dyDescent="0.3">
      <c r="A136" s="11" t="s">
        <v>125</v>
      </c>
      <c r="B136" s="17" t="str">
        <f t="shared" si="12"/>
        <v>2026</v>
      </c>
      <c r="C136" s="17" t="str">
        <f t="shared" si="13"/>
        <v>20</v>
      </c>
      <c r="D136" s="17" t="str">
        <f t="shared" si="14"/>
        <v>Jul</v>
      </c>
      <c r="E136" s="5" t="s">
        <v>118</v>
      </c>
      <c r="F136" s="5" t="s">
        <v>10</v>
      </c>
      <c r="G136" s="5" t="s">
        <v>17</v>
      </c>
      <c r="H136" s="5" t="s">
        <v>63</v>
      </c>
      <c r="I136" s="5" t="s">
        <v>73</v>
      </c>
      <c r="J136" s="6">
        <v>10</v>
      </c>
      <c r="K136" s="5" t="s">
        <v>14</v>
      </c>
      <c r="L136" t="s">
        <v>218</v>
      </c>
      <c r="M136" t="str">
        <f>VLOOKUP(E136,Price!$A$2:$C$9,3,)</f>
        <v>$67.00</v>
      </c>
      <c r="N136">
        <f t="shared" si="15"/>
        <v>1190</v>
      </c>
      <c r="O136">
        <f t="shared" si="16"/>
        <v>670</v>
      </c>
      <c r="P136">
        <f t="shared" si="17"/>
        <v>520</v>
      </c>
      <c r="Q136" s="20">
        <f>Table1[[#This Row],[Profit ]]/Table1[[#This Row],[Total Revenue]]</f>
        <v>0.43697478991596639</v>
      </c>
    </row>
    <row r="137" spans="1:17" ht="15.75" thickBot="1" x14ac:dyDescent="0.3">
      <c r="A137" s="10">
        <v>46269</v>
      </c>
      <c r="B137" s="16" t="str">
        <f t="shared" si="12"/>
        <v>6269</v>
      </c>
      <c r="C137" s="16" t="str">
        <f t="shared" si="13"/>
        <v>69</v>
      </c>
      <c r="D137" s="16" t="str">
        <f t="shared" si="14"/>
        <v>Dec</v>
      </c>
      <c r="E137" s="5" t="s">
        <v>140</v>
      </c>
      <c r="F137" s="5" t="s">
        <v>10</v>
      </c>
      <c r="G137" s="8" t="s">
        <v>11</v>
      </c>
      <c r="H137" s="5" t="s">
        <v>12</v>
      </c>
      <c r="I137" s="8" t="s">
        <v>47</v>
      </c>
      <c r="J137" s="9">
        <v>6</v>
      </c>
      <c r="K137" s="8" t="s">
        <v>19</v>
      </c>
      <c r="L137" t="s">
        <v>216</v>
      </c>
      <c r="M137" t="str">
        <f>VLOOKUP(E137,Price!$A$2:$C$9,3,)</f>
        <v>$64.00</v>
      </c>
      <c r="N137">
        <f t="shared" si="15"/>
        <v>672</v>
      </c>
      <c r="O137">
        <f t="shared" si="16"/>
        <v>384</v>
      </c>
      <c r="P137">
        <f t="shared" si="17"/>
        <v>288</v>
      </c>
      <c r="Q137" s="20">
        <f>Table1[[#This Row],[Profit ]]/Table1[[#This Row],[Total Revenue]]</f>
        <v>0.42857142857142855</v>
      </c>
    </row>
    <row r="138" spans="1:17" ht="15.75" thickBot="1" x14ac:dyDescent="0.3">
      <c r="A138" s="11" t="s">
        <v>141</v>
      </c>
      <c r="B138" s="17" t="str">
        <f t="shared" si="12"/>
        <v>2026</v>
      </c>
      <c r="C138" s="17" t="str">
        <f t="shared" si="13"/>
        <v>31</v>
      </c>
      <c r="D138" s="17" t="str">
        <f t="shared" si="14"/>
        <v>May</v>
      </c>
      <c r="E138" s="5" t="s">
        <v>34</v>
      </c>
      <c r="F138" s="5" t="s">
        <v>10</v>
      </c>
      <c r="G138" s="5" t="s">
        <v>36</v>
      </c>
      <c r="H138" s="5" t="s">
        <v>63</v>
      </c>
      <c r="I138" s="5" t="s">
        <v>64</v>
      </c>
      <c r="J138" s="6">
        <v>7</v>
      </c>
      <c r="K138" s="5" t="s">
        <v>19</v>
      </c>
      <c r="L138" t="s">
        <v>212</v>
      </c>
      <c r="M138" t="str">
        <f>VLOOKUP(E138,Price!$A$2:$C$9,3,)</f>
        <v>$72.00</v>
      </c>
      <c r="N138">
        <f t="shared" si="15"/>
        <v>896</v>
      </c>
      <c r="O138">
        <f t="shared" si="16"/>
        <v>504</v>
      </c>
      <c r="P138">
        <f t="shared" si="17"/>
        <v>392</v>
      </c>
      <c r="Q138" s="20">
        <f>Table1[[#This Row],[Profit ]]/Table1[[#This Row],[Total Revenue]]</f>
        <v>0.4375</v>
      </c>
    </row>
    <row r="139" spans="1:17" ht="15.75" thickBot="1" x14ac:dyDescent="0.3">
      <c r="A139" s="10" t="s">
        <v>87</v>
      </c>
      <c r="B139" s="16" t="str">
        <f t="shared" si="12"/>
        <v>2026</v>
      </c>
      <c r="C139" s="16" t="str">
        <f t="shared" si="13"/>
        <v>16</v>
      </c>
      <c r="D139" s="16" t="str">
        <f t="shared" si="14"/>
        <v>Jul</v>
      </c>
      <c r="E139" s="5" t="s">
        <v>80</v>
      </c>
      <c r="F139" s="5" t="s">
        <v>90</v>
      </c>
      <c r="G139" s="8" t="s">
        <v>11</v>
      </c>
      <c r="H139" s="5" t="s">
        <v>67</v>
      </c>
      <c r="I139" s="8" t="s">
        <v>38</v>
      </c>
      <c r="J139" s="9">
        <v>15</v>
      </c>
      <c r="K139" s="8" t="s">
        <v>42</v>
      </c>
      <c r="L139" t="s">
        <v>210</v>
      </c>
      <c r="M139" t="str">
        <f>VLOOKUP(E139,Price!$A$2:$C$9,3,)</f>
        <v>$39.00</v>
      </c>
      <c r="N139">
        <f t="shared" si="15"/>
        <v>1140</v>
      </c>
      <c r="O139">
        <f t="shared" si="16"/>
        <v>585</v>
      </c>
      <c r="P139">
        <f t="shared" si="17"/>
        <v>555</v>
      </c>
      <c r="Q139" s="20">
        <f>Table1[[#This Row],[Profit ]]/Table1[[#This Row],[Total Revenue]]</f>
        <v>0.48684210526315791</v>
      </c>
    </row>
    <row r="140" spans="1:17" ht="15.75" thickBot="1" x14ac:dyDescent="0.3">
      <c r="A140" s="11" t="s">
        <v>123</v>
      </c>
      <c r="B140" s="17" t="str">
        <f t="shared" si="12"/>
        <v>2026</v>
      </c>
      <c r="C140" s="17" t="str">
        <f t="shared" si="13"/>
        <v>30</v>
      </c>
      <c r="D140" s="17" t="str">
        <f t="shared" si="14"/>
        <v>Jun</v>
      </c>
      <c r="E140" s="5" t="s">
        <v>74</v>
      </c>
      <c r="F140" s="5" t="s">
        <v>10</v>
      </c>
      <c r="G140" s="5" t="s">
        <v>36</v>
      </c>
      <c r="H140" s="5" t="s">
        <v>63</v>
      </c>
      <c r="I140" s="5" t="s">
        <v>47</v>
      </c>
      <c r="J140" s="6">
        <v>11</v>
      </c>
      <c r="K140" s="5" t="s">
        <v>14</v>
      </c>
      <c r="L140" t="s">
        <v>204</v>
      </c>
      <c r="M140" t="str">
        <f>VLOOKUP(E140,Price!$A$2:$C$9,3,)</f>
        <v>$47.00</v>
      </c>
      <c r="N140">
        <f t="shared" si="15"/>
        <v>979</v>
      </c>
      <c r="O140">
        <f t="shared" si="16"/>
        <v>517</v>
      </c>
      <c r="P140">
        <f t="shared" si="17"/>
        <v>462</v>
      </c>
      <c r="Q140" s="20">
        <f>Table1[[#This Row],[Profit ]]/Table1[[#This Row],[Total Revenue]]</f>
        <v>0.47191011235955055</v>
      </c>
    </row>
    <row r="141" spans="1:17" ht="15.75" thickBot="1" x14ac:dyDescent="0.3">
      <c r="A141" s="10" t="s">
        <v>142</v>
      </c>
      <c r="B141" s="16" t="str">
        <f t="shared" si="12"/>
        <v>2026</v>
      </c>
      <c r="C141" s="16" t="str">
        <f t="shared" si="13"/>
        <v>14</v>
      </c>
      <c r="D141" s="16" t="str">
        <f t="shared" si="14"/>
        <v>May</v>
      </c>
      <c r="E141" s="5" t="s">
        <v>34</v>
      </c>
      <c r="F141" s="5" t="s">
        <v>62</v>
      </c>
      <c r="G141" s="8" t="s">
        <v>11</v>
      </c>
      <c r="H141" s="5" t="s">
        <v>12</v>
      </c>
      <c r="I141" s="8" t="s">
        <v>25</v>
      </c>
      <c r="J141" s="9">
        <v>8</v>
      </c>
      <c r="K141" s="8" t="s">
        <v>19</v>
      </c>
      <c r="L141" t="s">
        <v>212</v>
      </c>
      <c r="M141" t="str">
        <f>VLOOKUP(E141,Price!$A$2:$C$9,3,)</f>
        <v>$72.00</v>
      </c>
      <c r="N141">
        <f t="shared" si="15"/>
        <v>1024</v>
      </c>
      <c r="O141">
        <f t="shared" si="16"/>
        <v>576</v>
      </c>
      <c r="P141">
        <f t="shared" si="17"/>
        <v>448</v>
      </c>
      <c r="Q141" s="20">
        <f>Table1[[#This Row],[Profit ]]/Table1[[#This Row],[Total Revenue]]</f>
        <v>0.4375</v>
      </c>
    </row>
    <row r="142" spans="1:17" ht="15.75" thickBot="1" x14ac:dyDescent="0.3">
      <c r="A142" s="11">
        <v>46303</v>
      </c>
      <c r="B142" s="17" t="str">
        <f t="shared" si="12"/>
        <v>6303</v>
      </c>
      <c r="C142" s="17" t="str">
        <f t="shared" si="13"/>
        <v>03</v>
      </c>
      <c r="D142" s="17" t="str">
        <f t="shared" si="14"/>
        <v>Oct</v>
      </c>
      <c r="E142" s="5" t="s">
        <v>74</v>
      </c>
      <c r="F142" s="5" t="s">
        <v>10</v>
      </c>
      <c r="G142" s="5" t="s">
        <v>23</v>
      </c>
      <c r="H142" s="5" t="s">
        <v>63</v>
      </c>
      <c r="I142" s="5" t="s">
        <v>56</v>
      </c>
      <c r="J142" s="6">
        <v>8</v>
      </c>
      <c r="K142" s="5" t="s">
        <v>14</v>
      </c>
      <c r="L142" t="s">
        <v>204</v>
      </c>
      <c r="M142" t="str">
        <f>VLOOKUP(E142,Price!$A$2:$C$9,3,)</f>
        <v>$47.00</v>
      </c>
      <c r="N142">
        <f t="shared" si="15"/>
        <v>712</v>
      </c>
      <c r="O142">
        <f t="shared" si="16"/>
        <v>376</v>
      </c>
      <c r="P142">
        <f t="shared" si="17"/>
        <v>336</v>
      </c>
      <c r="Q142" s="20">
        <f>Table1[[#This Row],[Profit ]]/Table1[[#This Row],[Total Revenue]]</f>
        <v>0.47191011235955055</v>
      </c>
    </row>
    <row r="143" spans="1:17" ht="15.75" thickBot="1" x14ac:dyDescent="0.3">
      <c r="A143" s="10" t="s">
        <v>77</v>
      </c>
      <c r="B143" s="16" t="str">
        <f t="shared" si="12"/>
        <v>2026</v>
      </c>
      <c r="C143" s="16" t="str">
        <f t="shared" si="13"/>
        <v>28</v>
      </c>
      <c r="D143" s="16" t="str">
        <f t="shared" si="14"/>
        <v>Jan</v>
      </c>
      <c r="E143" s="5" t="s">
        <v>34</v>
      </c>
      <c r="F143" s="5" t="s">
        <v>35</v>
      </c>
      <c r="G143" s="8" t="s">
        <v>43</v>
      </c>
      <c r="H143" s="5" t="s">
        <v>12</v>
      </c>
      <c r="I143" s="8" t="s">
        <v>47</v>
      </c>
      <c r="J143" s="9">
        <v>2</v>
      </c>
      <c r="K143" s="8" t="s">
        <v>50</v>
      </c>
      <c r="L143" t="s">
        <v>212</v>
      </c>
      <c r="M143" t="str">
        <f>VLOOKUP(E143,Price!$A$2:$C$9,3,)</f>
        <v>$72.00</v>
      </c>
      <c r="N143">
        <f t="shared" si="15"/>
        <v>256</v>
      </c>
      <c r="O143">
        <f t="shared" si="16"/>
        <v>144</v>
      </c>
      <c r="P143">
        <f t="shared" si="17"/>
        <v>112</v>
      </c>
      <c r="Q143" s="20">
        <f>Table1[[#This Row],[Profit ]]/Table1[[#This Row],[Total Revenue]]</f>
        <v>0.4375</v>
      </c>
    </row>
    <row r="144" spans="1:17" ht="15.75" thickBot="1" x14ac:dyDescent="0.3">
      <c r="A144" s="11" t="s">
        <v>105</v>
      </c>
      <c r="B144" s="17" t="str">
        <f t="shared" si="12"/>
        <v>2026</v>
      </c>
      <c r="C144" s="17" t="str">
        <f t="shared" si="13"/>
        <v>16</v>
      </c>
      <c r="D144" s="17" t="str">
        <f t="shared" si="14"/>
        <v>Feb</v>
      </c>
      <c r="E144" s="5" t="s">
        <v>72</v>
      </c>
      <c r="F144" s="5" t="s">
        <v>10</v>
      </c>
      <c r="G144" s="5" t="s">
        <v>11</v>
      </c>
      <c r="H144" s="5" t="s">
        <v>52</v>
      </c>
      <c r="I144" s="5" t="s">
        <v>38</v>
      </c>
      <c r="J144" s="6">
        <v>12</v>
      </c>
      <c r="K144" s="5" t="s">
        <v>19</v>
      </c>
      <c r="L144" t="s">
        <v>214</v>
      </c>
      <c r="M144" t="str">
        <f>VLOOKUP(E144,Price!$A$2:$C$9,3,)</f>
        <v>$58.00</v>
      </c>
      <c r="N144">
        <f t="shared" si="15"/>
        <v>1260</v>
      </c>
      <c r="O144">
        <f t="shared" si="16"/>
        <v>696</v>
      </c>
      <c r="P144">
        <f t="shared" si="17"/>
        <v>564</v>
      </c>
      <c r="Q144" s="20">
        <f>Table1[[#This Row],[Profit ]]/Table1[[#This Row],[Total Revenue]]</f>
        <v>0.44761904761904764</v>
      </c>
    </row>
    <row r="145" spans="1:17" ht="15.75" thickBot="1" x14ac:dyDescent="0.3">
      <c r="A145" s="10" t="s">
        <v>143</v>
      </c>
      <c r="B145" s="16" t="str">
        <f t="shared" si="12"/>
        <v>2026</v>
      </c>
      <c r="C145" s="16" t="str">
        <f t="shared" si="13"/>
        <v>26</v>
      </c>
      <c r="D145" s="16" t="str">
        <f t="shared" si="14"/>
        <v>Jul</v>
      </c>
      <c r="E145" s="5" t="s">
        <v>34</v>
      </c>
      <c r="F145" s="5" t="s">
        <v>10</v>
      </c>
      <c r="G145" s="8" t="s">
        <v>36</v>
      </c>
      <c r="H145" s="5" t="s">
        <v>63</v>
      </c>
      <c r="I145" s="8" t="s">
        <v>103</v>
      </c>
      <c r="J145" s="9">
        <v>13</v>
      </c>
      <c r="K145" s="8" t="s">
        <v>42</v>
      </c>
      <c r="L145" t="s">
        <v>212</v>
      </c>
      <c r="M145" t="str">
        <f>VLOOKUP(E145,Price!$A$2:$C$9,3,)</f>
        <v>$72.00</v>
      </c>
      <c r="N145">
        <f t="shared" si="15"/>
        <v>1664</v>
      </c>
      <c r="O145">
        <f t="shared" si="16"/>
        <v>936</v>
      </c>
      <c r="P145">
        <f t="shared" si="17"/>
        <v>728</v>
      </c>
      <c r="Q145" s="20">
        <f>Table1[[#This Row],[Profit ]]/Table1[[#This Row],[Total Revenue]]</f>
        <v>0.4375</v>
      </c>
    </row>
    <row r="146" spans="1:17" ht="15.75" thickBot="1" x14ac:dyDescent="0.3">
      <c r="A146" s="11" t="s">
        <v>106</v>
      </c>
      <c r="B146" s="17" t="str">
        <f t="shared" si="12"/>
        <v>2026</v>
      </c>
      <c r="C146" s="17" t="str">
        <f t="shared" si="13"/>
        <v>28</v>
      </c>
      <c r="D146" s="17" t="str">
        <f t="shared" si="14"/>
        <v>Mar</v>
      </c>
      <c r="E146" s="5" t="s">
        <v>97</v>
      </c>
      <c r="F146" s="5" t="s">
        <v>62</v>
      </c>
      <c r="G146" s="5" t="s">
        <v>17</v>
      </c>
      <c r="H146" s="5" t="s">
        <v>138</v>
      </c>
      <c r="I146" s="5" t="s">
        <v>103</v>
      </c>
      <c r="J146" s="6">
        <v>3</v>
      </c>
      <c r="K146" s="5" t="s">
        <v>14</v>
      </c>
      <c r="L146" t="s">
        <v>206</v>
      </c>
      <c r="M146" t="str">
        <f>VLOOKUP(E146,Price!$A$2:$C$9,3,)</f>
        <v>$28.00</v>
      </c>
      <c r="N146">
        <f t="shared" si="15"/>
        <v>162</v>
      </c>
      <c r="O146">
        <f t="shared" si="16"/>
        <v>84</v>
      </c>
      <c r="P146">
        <f t="shared" si="17"/>
        <v>78</v>
      </c>
      <c r="Q146" s="20">
        <f>Table1[[#This Row],[Profit ]]/Table1[[#This Row],[Total Revenue]]</f>
        <v>0.48148148148148145</v>
      </c>
    </row>
    <row r="147" spans="1:17" ht="15.75" thickBot="1" x14ac:dyDescent="0.3">
      <c r="A147" s="10" t="s">
        <v>29</v>
      </c>
      <c r="B147" s="16" t="str">
        <f t="shared" si="12"/>
        <v>2026</v>
      </c>
      <c r="C147" s="16" t="str">
        <f t="shared" si="13"/>
        <v>18</v>
      </c>
      <c r="D147" s="16" t="str">
        <f t="shared" si="14"/>
        <v>Apr</v>
      </c>
      <c r="E147" s="5" t="s">
        <v>34</v>
      </c>
      <c r="F147" s="5" t="s">
        <v>10</v>
      </c>
      <c r="G147" s="8" t="s">
        <v>17</v>
      </c>
      <c r="H147" s="5" t="s">
        <v>63</v>
      </c>
      <c r="I147" s="8" t="s">
        <v>49</v>
      </c>
      <c r="J147" s="9">
        <v>11</v>
      </c>
      <c r="K147" s="8" t="s">
        <v>19</v>
      </c>
      <c r="L147" t="s">
        <v>212</v>
      </c>
      <c r="M147" t="str">
        <f>VLOOKUP(E147,Price!$A$2:$C$9,3,)</f>
        <v>$72.00</v>
      </c>
      <c r="N147">
        <f t="shared" si="15"/>
        <v>1408</v>
      </c>
      <c r="O147">
        <f t="shared" si="16"/>
        <v>792</v>
      </c>
      <c r="P147">
        <f t="shared" si="17"/>
        <v>616</v>
      </c>
      <c r="Q147" s="20">
        <f>Table1[[#This Row],[Profit ]]/Table1[[#This Row],[Total Revenue]]</f>
        <v>0.4375</v>
      </c>
    </row>
    <row r="148" spans="1:17" ht="15.75" thickBot="1" x14ac:dyDescent="0.3">
      <c r="A148" s="11" t="s">
        <v>112</v>
      </c>
      <c r="B148" s="17" t="str">
        <f t="shared" si="12"/>
        <v>2026</v>
      </c>
      <c r="C148" s="17" t="str">
        <f t="shared" si="13"/>
        <v>21</v>
      </c>
      <c r="D148" s="17" t="str">
        <f t="shared" si="14"/>
        <v>Jun</v>
      </c>
      <c r="E148" s="5" t="s">
        <v>140</v>
      </c>
      <c r="F148" s="5" t="s">
        <v>10</v>
      </c>
      <c r="G148" s="5" t="s">
        <v>11</v>
      </c>
      <c r="H148" s="5" t="s">
        <v>63</v>
      </c>
      <c r="I148" s="5" t="s">
        <v>33</v>
      </c>
      <c r="J148" s="6">
        <v>3</v>
      </c>
      <c r="K148" s="5" t="s">
        <v>14</v>
      </c>
      <c r="L148" t="s">
        <v>216</v>
      </c>
      <c r="M148" t="str">
        <f>VLOOKUP(E148,Price!$A$2:$C$9,3,)</f>
        <v>$64.00</v>
      </c>
      <c r="N148">
        <f t="shared" si="15"/>
        <v>336</v>
      </c>
      <c r="O148">
        <f t="shared" si="16"/>
        <v>192</v>
      </c>
      <c r="P148">
        <f t="shared" si="17"/>
        <v>144</v>
      </c>
      <c r="Q148" s="20">
        <f>Table1[[#This Row],[Profit ]]/Table1[[#This Row],[Total Revenue]]</f>
        <v>0.42857142857142855</v>
      </c>
    </row>
    <row r="149" spans="1:17" ht="15.75" thickBot="1" x14ac:dyDescent="0.3">
      <c r="A149" s="10">
        <v>46205</v>
      </c>
      <c r="B149" s="16" t="str">
        <f t="shared" si="12"/>
        <v>6205</v>
      </c>
      <c r="C149" s="16" t="str">
        <f t="shared" si="13"/>
        <v>05</v>
      </c>
      <c r="D149" s="16" t="str">
        <f t="shared" si="14"/>
        <v>Oct</v>
      </c>
      <c r="E149" s="5" t="s">
        <v>72</v>
      </c>
      <c r="F149" s="5" t="s">
        <v>90</v>
      </c>
      <c r="G149" s="8" t="s">
        <v>23</v>
      </c>
      <c r="H149" s="5" t="s">
        <v>63</v>
      </c>
      <c r="I149" s="8" t="s">
        <v>33</v>
      </c>
      <c r="J149" s="9">
        <v>14</v>
      </c>
      <c r="K149" s="8" t="s">
        <v>19</v>
      </c>
      <c r="L149" t="s">
        <v>214</v>
      </c>
      <c r="M149" t="str">
        <f>VLOOKUP(E149,Price!$A$2:$C$9,3,)</f>
        <v>$58.00</v>
      </c>
      <c r="N149">
        <f t="shared" si="15"/>
        <v>1470</v>
      </c>
      <c r="O149">
        <f t="shared" si="16"/>
        <v>812</v>
      </c>
      <c r="P149">
        <f t="shared" si="17"/>
        <v>658</v>
      </c>
      <c r="Q149" s="20">
        <f>Table1[[#This Row],[Profit ]]/Table1[[#This Row],[Total Revenue]]</f>
        <v>0.44761904761904764</v>
      </c>
    </row>
    <row r="150" spans="1:17" ht="15.75" thickBot="1" x14ac:dyDescent="0.3">
      <c r="A150" s="11">
        <v>46358</v>
      </c>
      <c r="B150" s="17" t="str">
        <f t="shared" si="12"/>
        <v>6358</v>
      </c>
      <c r="C150" s="17" t="str">
        <f t="shared" si="13"/>
        <v>58</v>
      </c>
      <c r="D150" s="17" t="str">
        <f t="shared" si="14"/>
        <v>Nov</v>
      </c>
      <c r="E150" s="5" t="s">
        <v>118</v>
      </c>
      <c r="F150" s="5" t="s">
        <v>62</v>
      </c>
      <c r="G150" s="5" t="s">
        <v>43</v>
      </c>
      <c r="H150" s="5" t="s">
        <v>52</v>
      </c>
      <c r="I150" s="5" t="s">
        <v>33</v>
      </c>
      <c r="J150" s="6">
        <v>1</v>
      </c>
      <c r="K150" s="5" t="s">
        <v>42</v>
      </c>
      <c r="L150" t="s">
        <v>218</v>
      </c>
      <c r="M150" t="str">
        <f>VLOOKUP(E150,Price!$A$2:$C$9,3,)</f>
        <v>$67.00</v>
      </c>
      <c r="N150">
        <f t="shared" si="15"/>
        <v>119</v>
      </c>
      <c r="O150">
        <f t="shared" si="16"/>
        <v>67</v>
      </c>
      <c r="P150">
        <f t="shared" si="17"/>
        <v>52</v>
      </c>
      <c r="Q150" s="20">
        <f>Table1[[#This Row],[Profit ]]/Table1[[#This Row],[Total Revenue]]</f>
        <v>0.43697478991596639</v>
      </c>
    </row>
    <row r="151" spans="1:17" ht="15.75" thickBot="1" x14ac:dyDescent="0.3">
      <c r="A151" s="10" t="s">
        <v>144</v>
      </c>
      <c r="B151" s="16" t="str">
        <f t="shared" si="12"/>
        <v>2026</v>
      </c>
      <c r="C151" s="16" t="str">
        <f t="shared" si="13"/>
        <v>24</v>
      </c>
      <c r="D151" s="16" t="str">
        <f t="shared" si="14"/>
        <v>May</v>
      </c>
      <c r="E151" s="5" t="s">
        <v>140</v>
      </c>
      <c r="F151" s="5" t="s">
        <v>10</v>
      </c>
      <c r="G151" s="8" t="s">
        <v>23</v>
      </c>
      <c r="H151" s="5" t="s">
        <v>67</v>
      </c>
      <c r="I151" s="8" t="s">
        <v>103</v>
      </c>
      <c r="J151" s="9">
        <v>10</v>
      </c>
      <c r="K151" s="8" t="s">
        <v>14</v>
      </c>
      <c r="L151" t="s">
        <v>216</v>
      </c>
      <c r="M151" t="str">
        <f>VLOOKUP(E151,Price!$A$2:$C$9,3,)</f>
        <v>$64.00</v>
      </c>
      <c r="N151">
        <f t="shared" si="15"/>
        <v>1120</v>
      </c>
      <c r="O151">
        <f t="shared" si="16"/>
        <v>640</v>
      </c>
      <c r="P151">
        <f t="shared" si="17"/>
        <v>480</v>
      </c>
      <c r="Q151" s="20">
        <f>Table1[[#This Row],[Profit ]]/Table1[[#This Row],[Total Revenue]]</f>
        <v>0.42857142857142855</v>
      </c>
    </row>
    <row r="152" spans="1:17" ht="15.75" thickBot="1" x14ac:dyDescent="0.3">
      <c r="A152" s="11">
        <v>46210</v>
      </c>
      <c r="B152" s="17" t="str">
        <f t="shared" si="12"/>
        <v>6210</v>
      </c>
      <c r="C152" s="17" t="str">
        <f t="shared" si="13"/>
        <v>10</v>
      </c>
      <c r="D152" s="17" t="str">
        <f t="shared" si="14"/>
        <v>Oct</v>
      </c>
      <c r="E152" s="5" t="s">
        <v>74</v>
      </c>
      <c r="F152" s="5" t="s">
        <v>10</v>
      </c>
      <c r="G152" s="5" t="s">
        <v>23</v>
      </c>
      <c r="H152" s="5" t="s">
        <v>12</v>
      </c>
      <c r="I152" s="5" t="s">
        <v>28</v>
      </c>
      <c r="J152" s="6">
        <v>7</v>
      </c>
      <c r="K152" s="5" t="s">
        <v>14</v>
      </c>
      <c r="L152" t="s">
        <v>204</v>
      </c>
      <c r="M152" t="str">
        <f>VLOOKUP(E152,Price!$A$2:$C$9,3,)</f>
        <v>$47.00</v>
      </c>
      <c r="N152">
        <f t="shared" si="15"/>
        <v>623</v>
      </c>
      <c r="O152">
        <f t="shared" si="16"/>
        <v>329</v>
      </c>
      <c r="P152">
        <f t="shared" si="17"/>
        <v>294</v>
      </c>
      <c r="Q152" s="20">
        <f>Table1[[#This Row],[Profit ]]/Table1[[#This Row],[Total Revenue]]</f>
        <v>0.47191011235955055</v>
      </c>
    </row>
    <row r="153" spans="1:17" ht="15.75" thickBot="1" x14ac:dyDescent="0.3">
      <c r="A153" s="10" t="s">
        <v>65</v>
      </c>
      <c r="B153" s="16" t="str">
        <f t="shared" si="12"/>
        <v>2026</v>
      </c>
      <c r="C153" s="16" t="str">
        <f t="shared" si="13"/>
        <v>13</v>
      </c>
      <c r="D153" s="16" t="str">
        <f t="shared" si="14"/>
        <v>Apr</v>
      </c>
      <c r="E153" s="5" t="s">
        <v>72</v>
      </c>
      <c r="F153" s="5" t="s">
        <v>35</v>
      </c>
      <c r="G153" s="8" t="s">
        <v>43</v>
      </c>
      <c r="H153" s="5" t="s">
        <v>63</v>
      </c>
      <c r="I153" s="8" t="s">
        <v>64</v>
      </c>
      <c r="J153" s="9">
        <v>6</v>
      </c>
      <c r="K153" s="8" t="s">
        <v>50</v>
      </c>
      <c r="L153" t="s">
        <v>214</v>
      </c>
      <c r="M153" t="str">
        <f>VLOOKUP(E153,Price!$A$2:$C$9,3,)</f>
        <v>$58.00</v>
      </c>
      <c r="N153">
        <f t="shared" si="15"/>
        <v>630</v>
      </c>
      <c r="O153">
        <f t="shared" si="16"/>
        <v>348</v>
      </c>
      <c r="P153">
        <f t="shared" si="17"/>
        <v>282</v>
      </c>
      <c r="Q153" s="20">
        <f>Table1[[#This Row],[Profit ]]/Table1[[#This Row],[Total Revenue]]</f>
        <v>0.44761904761904764</v>
      </c>
    </row>
    <row r="154" spans="1:17" ht="15.75" thickBot="1" x14ac:dyDescent="0.3">
      <c r="A154" s="11" t="s">
        <v>15</v>
      </c>
      <c r="B154" s="17" t="str">
        <f t="shared" si="12"/>
        <v>2026</v>
      </c>
      <c r="C154" s="17" t="str">
        <f t="shared" si="13"/>
        <v>26</v>
      </c>
      <c r="D154" s="17" t="str">
        <f t="shared" si="14"/>
        <v>Jun</v>
      </c>
      <c r="E154" s="5" t="s">
        <v>140</v>
      </c>
      <c r="F154" s="5" t="s">
        <v>35</v>
      </c>
      <c r="G154" s="5" t="s">
        <v>43</v>
      </c>
      <c r="H154" s="5" t="s">
        <v>12</v>
      </c>
      <c r="I154" s="5" t="s">
        <v>53</v>
      </c>
      <c r="J154" s="6">
        <v>8</v>
      </c>
      <c r="K154" s="5" t="s">
        <v>14</v>
      </c>
      <c r="L154" t="s">
        <v>216</v>
      </c>
      <c r="M154" t="str">
        <f>VLOOKUP(E154,Price!$A$2:$C$9,3,)</f>
        <v>$64.00</v>
      </c>
      <c r="N154">
        <f t="shared" si="15"/>
        <v>896</v>
      </c>
      <c r="O154">
        <f t="shared" si="16"/>
        <v>512</v>
      </c>
      <c r="P154">
        <f t="shared" si="17"/>
        <v>384</v>
      </c>
      <c r="Q154" s="20">
        <f>Table1[[#This Row],[Profit ]]/Table1[[#This Row],[Total Revenue]]</f>
        <v>0.42857142857142855</v>
      </c>
    </row>
    <row r="155" spans="1:17" ht="15.75" thickBot="1" x14ac:dyDescent="0.3">
      <c r="A155" s="10">
        <v>46329</v>
      </c>
      <c r="B155" s="16" t="str">
        <f t="shared" si="12"/>
        <v>6329</v>
      </c>
      <c r="C155" s="16" t="str">
        <f t="shared" si="13"/>
        <v>29</v>
      </c>
      <c r="D155" s="16" t="str">
        <f t="shared" si="14"/>
        <v>Oct</v>
      </c>
      <c r="E155" s="5" t="s">
        <v>80</v>
      </c>
      <c r="F155" s="5" t="s">
        <v>10</v>
      </c>
      <c r="G155" s="8" t="s">
        <v>23</v>
      </c>
      <c r="H155" s="5" t="s">
        <v>63</v>
      </c>
      <c r="I155" s="8" t="s">
        <v>28</v>
      </c>
      <c r="J155" s="9">
        <v>13</v>
      </c>
      <c r="K155" s="8" t="s">
        <v>19</v>
      </c>
      <c r="L155" t="s">
        <v>210</v>
      </c>
      <c r="M155" t="str">
        <f>VLOOKUP(E155,Price!$A$2:$C$9,3,)</f>
        <v>$39.00</v>
      </c>
      <c r="N155">
        <f t="shared" si="15"/>
        <v>988</v>
      </c>
      <c r="O155">
        <f t="shared" si="16"/>
        <v>507</v>
      </c>
      <c r="P155">
        <f t="shared" si="17"/>
        <v>481</v>
      </c>
      <c r="Q155" s="20">
        <f>Table1[[#This Row],[Profit ]]/Table1[[#This Row],[Total Revenue]]</f>
        <v>0.48684210526315791</v>
      </c>
    </row>
    <row r="156" spans="1:17" ht="15.75" thickBot="1" x14ac:dyDescent="0.3">
      <c r="A156" s="11" t="s">
        <v>112</v>
      </c>
      <c r="B156" s="17" t="str">
        <f t="shared" si="12"/>
        <v>2026</v>
      </c>
      <c r="C156" s="17" t="str">
        <f t="shared" si="13"/>
        <v>21</v>
      </c>
      <c r="D156" s="17" t="str">
        <f t="shared" si="14"/>
        <v>Jun</v>
      </c>
      <c r="E156" s="5" t="s">
        <v>34</v>
      </c>
      <c r="F156" s="5" t="s">
        <v>10</v>
      </c>
      <c r="G156" s="5" t="s">
        <v>17</v>
      </c>
      <c r="H156" s="5" t="s">
        <v>138</v>
      </c>
      <c r="I156" s="5" t="s">
        <v>25</v>
      </c>
      <c r="J156" s="6">
        <v>11</v>
      </c>
      <c r="K156" s="5" t="s">
        <v>19</v>
      </c>
      <c r="L156" t="s">
        <v>212</v>
      </c>
      <c r="M156" t="str">
        <f>VLOOKUP(E156,Price!$A$2:$C$9,3,)</f>
        <v>$72.00</v>
      </c>
      <c r="N156">
        <f t="shared" si="15"/>
        <v>1408</v>
      </c>
      <c r="O156">
        <f t="shared" si="16"/>
        <v>792</v>
      </c>
      <c r="P156">
        <f t="shared" si="17"/>
        <v>616</v>
      </c>
      <c r="Q156" s="20">
        <f>Table1[[#This Row],[Profit ]]/Table1[[#This Row],[Total Revenue]]</f>
        <v>0.4375</v>
      </c>
    </row>
    <row r="157" spans="1:17" ht="15.75" thickBot="1" x14ac:dyDescent="0.3">
      <c r="A157" s="10">
        <v>46179</v>
      </c>
      <c r="B157" s="16" t="str">
        <f t="shared" si="12"/>
        <v>6179</v>
      </c>
      <c r="C157" s="16" t="str">
        <f t="shared" si="13"/>
        <v>79</v>
      </c>
      <c r="D157" s="16" t="str">
        <f t="shared" si="14"/>
        <v>Dec</v>
      </c>
      <c r="E157" s="5" t="s">
        <v>140</v>
      </c>
      <c r="F157" s="5" t="s">
        <v>10</v>
      </c>
      <c r="G157" s="8" t="s">
        <v>43</v>
      </c>
      <c r="H157" s="5" t="s">
        <v>63</v>
      </c>
      <c r="I157" s="8" t="s">
        <v>38</v>
      </c>
      <c r="J157" s="9">
        <v>8</v>
      </c>
      <c r="K157" s="8" t="s">
        <v>50</v>
      </c>
      <c r="L157" t="s">
        <v>216</v>
      </c>
      <c r="M157" t="str">
        <f>VLOOKUP(E157,Price!$A$2:$C$9,3,)</f>
        <v>$64.00</v>
      </c>
      <c r="N157">
        <f t="shared" si="15"/>
        <v>896</v>
      </c>
      <c r="O157">
        <f t="shared" si="16"/>
        <v>512</v>
      </c>
      <c r="P157">
        <f t="shared" si="17"/>
        <v>384</v>
      </c>
      <c r="Q157" s="20">
        <f>Table1[[#This Row],[Profit ]]/Table1[[#This Row],[Total Revenue]]</f>
        <v>0.42857142857142855</v>
      </c>
    </row>
    <row r="158" spans="1:17" ht="15.75" thickBot="1" x14ac:dyDescent="0.3">
      <c r="A158" s="11">
        <v>46054</v>
      </c>
      <c r="B158" s="17" t="str">
        <f t="shared" si="12"/>
        <v>6054</v>
      </c>
      <c r="C158" s="17" t="str">
        <f t="shared" si="13"/>
        <v>54</v>
      </c>
      <c r="D158" s="17" t="str">
        <f t="shared" si="14"/>
        <v>Nov</v>
      </c>
      <c r="E158" s="5" t="s">
        <v>97</v>
      </c>
      <c r="F158" s="5" t="s">
        <v>10</v>
      </c>
      <c r="G158" s="5" t="s">
        <v>17</v>
      </c>
      <c r="H158" s="5" t="s">
        <v>67</v>
      </c>
      <c r="I158" s="5" t="s">
        <v>49</v>
      </c>
      <c r="J158" s="6">
        <v>13</v>
      </c>
      <c r="K158" s="5" t="s">
        <v>50</v>
      </c>
      <c r="L158" t="s">
        <v>206</v>
      </c>
      <c r="M158" t="str">
        <f>VLOOKUP(E158,Price!$A$2:$C$9,3,)</f>
        <v>$28.00</v>
      </c>
      <c r="N158">
        <f t="shared" si="15"/>
        <v>702</v>
      </c>
      <c r="O158">
        <f t="shared" si="16"/>
        <v>364</v>
      </c>
      <c r="P158">
        <f t="shared" si="17"/>
        <v>338</v>
      </c>
      <c r="Q158" s="20">
        <f>Table1[[#This Row],[Profit ]]/Table1[[#This Row],[Total Revenue]]</f>
        <v>0.48148148148148145</v>
      </c>
    </row>
    <row r="159" spans="1:17" ht="15.75" thickBot="1" x14ac:dyDescent="0.3">
      <c r="A159" s="10">
        <v>46054</v>
      </c>
      <c r="B159" s="16" t="str">
        <f t="shared" si="12"/>
        <v>6054</v>
      </c>
      <c r="C159" s="16" t="str">
        <f t="shared" si="13"/>
        <v>54</v>
      </c>
      <c r="D159" s="16" t="str">
        <f t="shared" si="14"/>
        <v>Nov</v>
      </c>
      <c r="E159" s="5" t="s">
        <v>74</v>
      </c>
      <c r="F159" s="5" t="s">
        <v>35</v>
      </c>
      <c r="G159" s="8" t="s">
        <v>36</v>
      </c>
      <c r="H159" s="5" t="s">
        <v>63</v>
      </c>
      <c r="I159" s="8" t="s">
        <v>25</v>
      </c>
      <c r="J159" s="9">
        <v>12</v>
      </c>
      <c r="K159" s="8" t="s">
        <v>42</v>
      </c>
      <c r="L159" t="s">
        <v>204</v>
      </c>
      <c r="M159" t="str">
        <f>VLOOKUP(E159,Price!$A$2:$C$9,3,)</f>
        <v>$47.00</v>
      </c>
      <c r="N159">
        <f t="shared" si="15"/>
        <v>1068</v>
      </c>
      <c r="O159">
        <f t="shared" si="16"/>
        <v>564</v>
      </c>
      <c r="P159">
        <f t="shared" si="17"/>
        <v>504</v>
      </c>
      <c r="Q159" s="20">
        <f>Table1[[#This Row],[Profit ]]/Table1[[#This Row],[Total Revenue]]</f>
        <v>0.47191011235955055</v>
      </c>
    </row>
    <row r="160" spans="1:17" ht="15.75" thickBot="1" x14ac:dyDescent="0.3">
      <c r="A160" s="11" t="s">
        <v>145</v>
      </c>
      <c r="B160" s="17" t="str">
        <f t="shared" si="12"/>
        <v>2026</v>
      </c>
      <c r="C160" s="17" t="str">
        <f t="shared" si="13"/>
        <v>25</v>
      </c>
      <c r="D160" s="17" t="str">
        <f t="shared" si="14"/>
        <v>Mar</v>
      </c>
      <c r="E160" s="5" t="s">
        <v>80</v>
      </c>
      <c r="F160" s="5" t="s">
        <v>62</v>
      </c>
      <c r="G160" s="5" t="s">
        <v>23</v>
      </c>
      <c r="H160" s="5" t="s">
        <v>52</v>
      </c>
      <c r="I160" s="5" t="s">
        <v>53</v>
      </c>
      <c r="J160" s="6">
        <v>1</v>
      </c>
      <c r="K160" s="5" t="s">
        <v>19</v>
      </c>
      <c r="L160" t="s">
        <v>210</v>
      </c>
      <c r="M160" t="str">
        <f>VLOOKUP(E160,Price!$A$2:$C$9,3,)</f>
        <v>$39.00</v>
      </c>
      <c r="N160">
        <f t="shared" si="15"/>
        <v>76</v>
      </c>
      <c r="O160">
        <f t="shared" si="16"/>
        <v>39</v>
      </c>
      <c r="P160">
        <f t="shared" si="17"/>
        <v>37</v>
      </c>
      <c r="Q160" s="20">
        <f>Table1[[#This Row],[Profit ]]/Table1[[#This Row],[Total Revenue]]</f>
        <v>0.48684210526315791</v>
      </c>
    </row>
    <row r="161" spans="1:17" ht="15.75" thickBot="1" x14ac:dyDescent="0.3">
      <c r="A161" s="10" t="s">
        <v>120</v>
      </c>
      <c r="B161" s="16" t="str">
        <f t="shared" si="12"/>
        <v>2026</v>
      </c>
      <c r="C161" s="16" t="str">
        <f t="shared" si="13"/>
        <v>14</v>
      </c>
      <c r="D161" s="16" t="str">
        <f t="shared" si="14"/>
        <v>Jun</v>
      </c>
      <c r="E161" s="5" t="s">
        <v>97</v>
      </c>
      <c r="F161" s="5" t="s">
        <v>10</v>
      </c>
      <c r="G161" s="8" t="s">
        <v>11</v>
      </c>
      <c r="H161" s="5" t="s">
        <v>52</v>
      </c>
      <c r="I161" s="8" t="s">
        <v>33</v>
      </c>
      <c r="J161" s="9">
        <v>10</v>
      </c>
      <c r="K161" s="8" t="s">
        <v>50</v>
      </c>
      <c r="L161" t="s">
        <v>206</v>
      </c>
      <c r="M161" t="str">
        <f>VLOOKUP(E161,Price!$A$2:$C$9,3,)</f>
        <v>$28.00</v>
      </c>
      <c r="N161">
        <f t="shared" si="15"/>
        <v>540</v>
      </c>
      <c r="O161">
        <f t="shared" si="16"/>
        <v>280</v>
      </c>
      <c r="P161">
        <f t="shared" si="17"/>
        <v>260</v>
      </c>
      <c r="Q161" s="20">
        <f>Table1[[#This Row],[Profit ]]/Table1[[#This Row],[Total Revenue]]</f>
        <v>0.48148148148148145</v>
      </c>
    </row>
    <row r="162" spans="1:17" ht="15.75" thickBot="1" x14ac:dyDescent="0.3">
      <c r="A162" s="11">
        <v>46360</v>
      </c>
      <c r="B162" s="17" t="str">
        <f t="shared" si="12"/>
        <v>6360</v>
      </c>
      <c r="C162" s="17" t="str">
        <f t="shared" si="13"/>
        <v>60</v>
      </c>
      <c r="D162" s="17" t="str">
        <f t="shared" si="14"/>
        <v>Nov</v>
      </c>
      <c r="E162" s="5" t="s">
        <v>74</v>
      </c>
      <c r="F162" s="5" t="s">
        <v>62</v>
      </c>
      <c r="G162" s="5" t="s">
        <v>11</v>
      </c>
      <c r="H162" s="5" t="s">
        <v>67</v>
      </c>
      <c r="I162" s="5" t="s">
        <v>33</v>
      </c>
      <c r="J162" s="6">
        <v>15</v>
      </c>
      <c r="K162" s="5" t="s">
        <v>42</v>
      </c>
      <c r="L162" t="s">
        <v>204</v>
      </c>
      <c r="M162" t="str">
        <f>VLOOKUP(E162,Price!$A$2:$C$9,3,)</f>
        <v>$47.00</v>
      </c>
      <c r="N162">
        <f t="shared" si="15"/>
        <v>1335</v>
      </c>
      <c r="O162">
        <f t="shared" si="16"/>
        <v>705</v>
      </c>
      <c r="P162">
        <f t="shared" si="17"/>
        <v>630</v>
      </c>
      <c r="Q162" s="20">
        <f>Table1[[#This Row],[Profit ]]/Table1[[#This Row],[Total Revenue]]</f>
        <v>0.47191011235955055</v>
      </c>
    </row>
    <row r="163" spans="1:17" ht="15.75" thickBot="1" x14ac:dyDescent="0.3">
      <c r="A163" s="10">
        <v>46145</v>
      </c>
      <c r="B163" s="16" t="str">
        <f t="shared" si="12"/>
        <v>6145</v>
      </c>
      <c r="C163" s="16" t="str">
        <f t="shared" si="13"/>
        <v>45</v>
      </c>
      <c r="D163" s="16" t="str">
        <f t="shared" si="14"/>
        <v>Nov</v>
      </c>
      <c r="E163" s="5" t="s">
        <v>118</v>
      </c>
      <c r="F163" s="5" t="s">
        <v>10</v>
      </c>
      <c r="G163" s="8" t="s">
        <v>43</v>
      </c>
      <c r="H163" s="5" t="s">
        <v>52</v>
      </c>
      <c r="I163" s="8" t="s">
        <v>28</v>
      </c>
      <c r="J163" s="9">
        <v>3</v>
      </c>
      <c r="K163" s="8" t="s">
        <v>50</v>
      </c>
      <c r="L163" t="s">
        <v>218</v>
      </c>
      <c r="M163" t="str">
        <f>VLOOKUP(E163,Price!$A$2:$C$9,3,)</f>
        <v>$67.00</v>
      </c>
      <c r="N163">
        <f t="shared" si="15"/>
        <v>357</v>
      </c>
      <c r="O163">
        <f t="shared" si="16"/>
        <v>201</v>
      </c>
      <c r="P163">
        <f t="shared" si="17"/>
        <v>156</v>
      </c>
      <c r="Q163" s="20">
        <f>Table1[[#This Row],[Profit ]]/Table1[[#This Row],[Total Revenue]]</f>
        <v>0.43697478991596639</v>
      </c>
    </row>
    <row r="164" spans="1:17" ht="15.75" thickBot="1" x14ac:dyDescent="0.3">
      <c r="A164" s="11">
        <v>46174</v>
      </c>
      <c r="B164" s="17" t="str">
        <f t="shared" si="12"/>
        <v>6174</v>
      </c>
      <c r="C164" s="17" t="str">
        <f t="shared" si="13"/>
        <v>74</v>
      </c>
      <c r="D164" s="17" t="str">
        <f t="shared" si="14"/>
        <v>Dec</v>
      </c>
      <c r="E164" s="5" t="s">
        <v>80</v>
      </c>
      <c r="F164" s="5" t="s">
        <v>62</v>
      </c>
      <c r="G164" s="5" t="s">
        <v>36</v>
      </c>
      <c r="H164" s="5" t="s">
        <v>67</v>
      </c>
      <c r="I164" s="5" t="s">
        <v>25</v>
      </c>
      <c r="J164" s="6">
        <v>1</v>
      </c>
      <c r="K164" s="5" t="s">
        <v>14</v>
      </c>
      <c r="L164" t="s">
        <v>210</v>
      </c>
      <c r="M164" t="str">
        <f>VLOOKUP(E164,Price!$A$2:$C$9,3,)</f>
        <v>$39.00</v>
      </c>
      <c r="N164">
        <f t="shared" si="15"/>
        <v>76</v>
      </c>
      <c r="O164">
        <f t="shared" si="16"/>
        <v>39</v>
      </c>
      <c r="P164">
        <f t="shared" si="17"/>
        <v>37</v>
      </c>
      <c r="Q164" s="20">
        <f>Table1[[#This Row],[Profit ]]/Table1[[#This Row],[Total Revenue]]</f>
        <v>0.48684210526315791</v>
      </c>
    </row>
    <row r="165" spans="1:17" ht="15.75" thickBot="1" x14ac:dyDescent="0.3">
      <c r="A165" s="10" t="s">
        <v>146</v>
      </c>
      <c r="B165" s="16" t="str">
        <f t="shared" si="12"/>
        <v>2026</v>
      </c>
      <c r="C165" s="16" t="str">
        <f t="shared" si="13"/>
        <v>15</v>
      </c>
      <c r="D165" s="16" t="str">
        <f t="shared" si="14"/>
        <v>Jul</v>
      </c>
      <c r="E165" s="5" t="s">
        <v>97</v>
      </c>
      <c r="F165" s="5" t="s">
        <v>62</v>
      </c>
      <c r="G165" s="8" t="s">
        <v>11</v>
      </c>
      <c r="H165" s="5" t="s">
        <v>52</v>
      </c>
      <c r="I165" s="8" t="s">
        <v>38</v>
      </c>
      <c r="J165" s="9">
        <v>9</v>
      </c>
      <c r="K165" s="8" t="s">
        <v>42</v>
      </c>
      <c r="L165" t="s">
        <v>206</v>
      </c>
      <c r="M165" t="str">
        <f>VLOOKUP(E165,Price!$A$2:$C$9,3,)</f>
        <v>$28.00</v>
      </c>
      <c r="N165">
        <f t="shared" si="15"/>
        <v>486</v>
      </c>
      <c r="O165">
        <f t="shared" si="16"/>
        <v>252</v>
      </c>
      <c r="P165">
        <f t="shared" si="17"/>
        <v>234</v>
      </c>
      <c r="Q165" s="20">
        <f>Table1[[#This Row],[Profit ]]/Table1[[#This Row],[Total Revenue]]</f>
        <v>0.48148148148148145</v>
      </c>
    </row>
    <row r="166" spans="1:17" ht="15.75" thickBot="1" x14ac:dyDescent="0.3">
      <c r="A166" s="11">
        <v>46147</v>
      </c>
      <c r="B166" s="17" t="str">
        <f t="shared" si="12"/>
        <v>6147</v>
      </c>
      <c r="C166" s="17" t="str">
        <f t="shared" si="13"/>
        <v>47</v>
      </c>
      <c r="D166" s="17" t="str">
        <f t="shared" si="14"/>
        <v>Nov</v>
      </c>
      <c r="E166" s="5" t="s">
        <v>21</v>
      </c>
      <c r="F166" s="5" t="s">
        <v>35</v>
      </c>
      <c r="G166" s="5" t="s">
        <v>17</v>
      </c>
      <c r="H166" s="5" t="s">
        <v>63</v>
      </c>
      <c r="I166" s="5" t="s">
        <v>49</v>
      </c>
      <c r="J166" s="6">
        <v>13</v>
      </c>
      <c r="K166" s="5" t="s">
        <v>14</v>
      </c>
      <c r="L166" t="s">
        <v>208</v>
      </c>
      <c r="M166" t="str">
        <f>VLOOKUP(E166,Price!$A$2:$C$9,3,)</f>
        <v>$14.00</v>
      </c>
      <c r="N166">
        <f t="shared" si="15"/>
        <v>416</v>
      </c>
      <c r="O166">
        <f t="shared" si="16"/>
        <v>182</v>
      </c>
      <c r="P166">
        <f t="shared" si="17"/>
        <v>234</v>
      </c>
      <c r="Q166" s="20">
        <f>Table1[[#This Row],[Profit ]]/Table1[[#This Row],[Total Revenue]]</f>
        <v>0.5625</v>
      </c>
    </row>
    <row r="167" spans="1:17" ht="15.75" thickBot="1" x14ac:dyDescent="0.3">
      <c r="A167" s="10" t="s">
        <v>120</v>
      </c>
      <c r="B167" s="16" t="str">
        <f t="shared" si="12"/>
        <v>2026</v>
      </c>
      <c r="C167" s="16" t="str">
        <f t="shared" si="13"/>
        <v>14</v>
      </c>
      <c r="D167" s="16" t="str">
        <f t="shared" si="14"/>
        <v>Jun</v>
      </c>
      <c r="E167" s="5" t="s">
        <v>118</v>
      </c>
      <c r="F167" s="5" t="s">
        <v>90</v>
      </c>
      <c r="G167" s="8" t="s">
        <v>17</v>
      </c>
      <c r="H167" s="5" t="s">
        <v>52</v>
      </c>
      <c r="I167" s="8" t="s">
        <v>64</v>
      </c>
      <c r="J167" s="9">
        <v>10</v>
      </c>
      <c r="K167" s="8" t="s">
        <v>19</v>
      </c>
      <c r="L167" t="s">
        <v>218</v>
      </c>
      <c r="M167" t="str">
        <f>VLOOKUP(E167,Price!$A$2:$C$9,3,)</f>
        <v>$67.00</v>
      </c>
      <c r="N167">
        <f t="shared" si="15"/>
        <v>1190</v>
      </c>
      <c r="O167">
        <f t="shared" si="16"/>
        <v>670</v>
      </c>
      <c r="P167">
        <f t="shared" si="17"/>
        <v>520</v>
      </c>
      <c r="Q167" s="20">
        <f>Table1[[#This Row],[Profit ]]/Table1[[#This Row],[Total Revenue]]</f>
        <v>0.43697478991596639</v>
      </c>
    </row>
    <row r="168" spans="1:17" ht="15.75" thickBot="1" x14ac:dyDescent="0.3">
      <c r="A168" s="11">
        <v>46179</v>
      </c>
      <c r="B168" s="17" t="str">
        <f t="shared" si="12"/>
        <v>6179</v>
      </c>
      <c r="C168" s="17" t="str">
        <f t="shared" si="13"/>
        <v>79</v>
      </c>
      <c r="D168" s="17" t="str">
        <f t="shared" si="14"/>
        <v>Dec</v>
      </c>
      <c r="E168" s="5" t="s">
        <v>74</v>
      </c>
      <c r="F168" s="5" t="s">
        <v>10</v>
      </c>
      <c r="G168" s="5" t="s">
        <v>23</v>
      </c>
      <c r="H168" s="5" t="s">
        <v>12</v>
      </c>
      <c r="I168" s="5" t="s">
        <v>73</v>
      </c>
      <c r="J168" s="6">
        <v>10</v>
      </c>
      <c r="K168" s="5" t="s">
        <v>14</v>
      </c>
      <c r="L168" t="s">
        <v>204</v>
      </c>
      <c r="M168" t="str">
        <f>VLOOKUP(E168,Price!$A$2:$C$9,3,)</f>
        <v>$47.00</v>
      </c>
      <c r="N168">
        <f t="shared" si="15"/>
        <v>890</v>
      </c>
      <c r="O168">
        <f t="shared" si="16"/>
        <v>470</v>
      </c>
      <c r="P168">
        <f t="shared" si="17"/>
        <v>420</v>
      </c>
      <c r="Q168" s="20">
        <f>Table1[[#This Row],[Profit ]]/Table1[[#This Row],[Total Revenue]]</f>
        <v>0.47191011235955055</v>
      </c>
    </row>
    <row r="169" spans="1:17" ht="15.75" thickBot="1" x14ac:dyDescent="0.3">
      <c r="A169" s="10" t="s">
        <v>95</v>
      </c>
      <c r="B169" s="16" t="str">
        <f t="shared" si="12"/>
        <v>2026</v>
      </c>
      <c r="C169" s="16" t="str">
        <f t="shared" si="13"/>
        <v>17</v>
      </c>
      <c r="D169" s="16" t="str">
        <f t="shared" si="14"/>
        <v>Jul</v>
      </c>
      <c r="E169" s="5" t="s">
        <v>34</v>
      </c>
      <c r="F169" s="5" t="s">
        <v>10</v>
      </c>
      <c r="G169" s="8" t="s">
        <v>43</v>
      </c>
      <c r="H169" s="5" t="s">
        <v>63</v>
      </c>
      <c r="I169" s="8" t="s">
        <v>41</v>
      </c>
      <c r="J169" s="9">
        <v>15</v>
      </c>
      <c r="K169" s="8" t="s">
        <v>19</v>
      </c>
      <c r="L169" t="s">
        <v>212</v>
      </c>
      <c r="M169" t="str">
        <f>VLOOKUP(E169,Price!$A$2:$C$9,3,)</f>
        <v>$72.00</v>
      </c>
      <c r="N169">
        <f t="shared" si="15"/>
        <v>1920</v>
      </c>
      <c r="O169">
        <f t="shared" si="16"/>
        <v>1080</v>
      </c>
      <c r="P169">
        <f t="shared" si="17"/>
        <v>840</v>
      </c>
      <c r="Q169" s="20">
        <f>Table1[[#This Row],[Profit ]]/Table1[[#This Row],[Total Revenue]]</f>
        <v>0.4375</v>
      </c>
    </row>
    <row r="170" spans="1:17" ht="15.75" thickBot="1" x14ac:dyDescent="0.3">
      <c r="A170" s="11" t="s">
        <v>147</v>
      </c>
      <c r="B170" s="17" t="str">
        <f t="shared" si="12"/>
        <v>2026</v>
      </c>
      <c r="C170" s="17" t="str">
        <f t="shared" si="13"/>
        <v>28</v>
      </c>
      <c r="D170" s="17" t="str">
        <f t="shared" si="14"/>
        <v>Apr</v>
      </c>
      <c r="E170" s="5" t="s">
        <v>21</v>
      </c>
      <c r="F170" s="5" t="s">
        <v>62</v>
      </c>
      <c r="G170" s="5" t="s">
        <v>11</v>
      </c>
      <c r="H170" s="5" t="s">
        <v>63</v>
      </c>
      <c r="I170" s="5" t="s">
        <v>47</v>
      </c>
      <c r="J170" s="6">
        <v>9</v>
      </c>
      <c r="K170" s="5" t="s">
        <v>50</v>
      </c>
      <c r="L170" t="s">
        <v>208</v>
      </c>
      <c r="M170" t="str">
        <f>VLOOKUP(E170,Price!$A$2:$C$9,3,)</f>
        <v>$14.00</v>
      </c>
      <c r="N170">
        <f t="shared" si="15"/>
        <v>288</v>
      </c>
      <c r="O170">
        <f t="shared" si="16"/>
        <v>126</v>
      </c>
      <c r="P170">
        <f t="shared" si="17"/>
        <v>162</v>
      </c>
      <c r="Q170" s="20">
        <f>Table1[[#This Row],[Profit ]]/Table1[[#This Row],[Total Revenue]]</f>
        <v>0.5625</v>
      </c>
    </row>
    <row r="171" spans="1:17" ht="15.75" thickBot="1" x14ac:dyDescent="0.3">
      <c r="A171" s="10" t="s">
        <v>148</v>
      </c>
      <c r="B171" s="16" t="str">
        <f t="shared" si="12"/>
        <v>2026</v>
      </c>
      <c r="C171" s="16" t="str">
        <f t="shared" si="13"/>
        <v>25</v>
      </c>
      <c r="D171" s="16" t="str">
        <f t="shared" si="14"/>
        <v>Jun</v>
      </c>
      <c r="E171" s="5" t="s">
        <v>140</v>
      </c>
      <c r="F171" s="5" t="s">
        <v>62</v>
      </c>
      <c r="G171" s="8" t="s">
        <v>43</v>
      </c>
      <c r="H171" s="5" t="s">
        <v>67</v>
      </c>
      <c r="I171" s="8" t="s">
        <v>73</v>
      </c>
      <c r="J171" s="9">
        <v>14</v>
      </c>
      <c r="K171" s="8" t="s">
        <v>42</v>
      </c>
      <c r="L171" t="s">
        <v>216</v>
      </c>
      <c r="M171" t="str">
        <f>VLOOKUP(E171,Price!$A$2:$C$9,3,)</f>
        <v>$64.00</v>
      </c>
      <c r="N171">
        <f t="shared" si="15"/>
        <v>1568</v>
      </c>
      <c r="O171">
        <f t="shared" si="16"/>
        <v>896</v>
      </c>
      <c r="P171">
        <f t="shared" si="17"/>
        <v>672</v>
      </c>
      <c r="Q171" s="20">
        <f>Table1[[#This Row],[Profit ]]/Table1[[#This Row],[Total Revenue]]</f>
        <v>0.42857142857142855</v>
      </c>
    </row>
    <row r="172" spans="1:17" ht="15.75" thickBot="1" x14ac:dyDescent="0.3">
      <c r="A172" s="11">
        <v>46238</v>
      </c>
      <c r="B172" s="17" t="str">
        <f t="shared" si="12"/>
        <v>6238</v>
      </c>
      <c r="C172" s="17" t="str">
        <f t="shared" si="13"/>
        <v>38</v>
      </c>
      <c r="D172" s="17" t="str">
        <f t="shared" si="14"/>
        <v>Nov</v>
      </c>
      <c r="E172" s="5" t="s">
        <v>140</v>
      </c>
      <c r="F172" s="5" t="s">
        <v>10</v>
      </c>
      <c r="G172" s="5" t="s">
        <v>17</v>
      </c>
      <c r="H172" s="5" t="s">
        <v>52</v>
      </c>
      <c r="I172" s="5" t="s">
        <v>38</v>
      </c>
      <c r="J172" s="6">
        <v>14</v>
      </c>
      <c r="K172" s="5" t="s">
        <v>50</v>
      </c>
      <c r="L172" t="s">
        <v>216</v>
      </c>
      <c r="M172" t="str">
        <f>VLOOKUP(E172,Price!$A$2:$C$9,3,)</f>
        <v>$64.00</v>
      </c>
      <c r="N172">
        <f t="shared" si="15"/>
        <v>1568</v>
      </c>
      <c r="O172">
        <f t="shared" si="16"/>
        <v>896</v>
      </c>
      <c r="P172">
        <f t="shared" si="17"/>
        <v>672</v>
      </c>
      <c r="Q172" s="20">
        <f>Table1[[#This Row],[Profit ]]/Table1[[#This Row],[Total Revenue]]</f>
        <v>0.42857142857142855</v>
      </c>
    </row>
    <row r="173" spans="1:17" ht="15.75" thickBot="1" x14ac:dyDescent="0.3">
      <c r="A173" s="10">
        <v>46364</v>
      </c>
      <c r="B173" s="16" t="str">
        <f t="shared" si="12"/>
        <v>6364</v>
      </c>
      <c r="C173" s="16" t="str">
        <f t="shared" si="13"/>
        <v>64</v>
      </c>
      <c r="D173" s="16" t="str">
        <f t="shared" si="14"/>
        <v>Dec</v>
      </c>
      <c r="E173" s="5" t="s">
        <v>34</v>
      </c>
      <c r="F173" s="5" t="s">
        <v>10</v>
      </c>
      <c r="G173" s="8" t="s">
        <v>17</v>
      </c>
      <c r="H173" s="5" t="s">
        <v>63</v>
      </c>
      <c r="I173" s="8" t="s">
        <v>41</v>
      </c>
      <c r="J173" s="9">
        <v>10</v>
      </c>
      <c r="K173" s="8" t="s">
        <v>19</v>
      </c>
      <c r="L173" t="s">
        <v>212</v>
      </c>
      <c r="M173" t="str">
        <f>VLOOKUP(E173,Price!$A$2:$C$9,3,)</f>
        <v>$72.00</v>
      </c>
      <c r="N173">
        <f t="shared" si="15"/>
        <v>1280</v>
      </c>
      <c r="O173">
        <f t="shared" si="16"/>
        <v>720</v>
      </c>
      <c r="P173">
        <f t="shared" si="17"/>
        <v>560</v>
      </c>
      <c r="Q173" s="20">
        <f>Table1[[#This Row],[Profit ]]/Table1[[#This Row],[Total Revenue]]</f>
        <v>0.4375</v>
      </c>
    </row>
    <row r="174" spans="1:17" ht="15.75" thickBot="1" x14ac:dyDescent="0.3">
      <c r="A174" s="11" t="s">
        <v>93</v>
      </c>
      <c r="B174" s="17" t="str">
        <f t="shared" si="12"/>
        <v>2026</v>
      </c>
      <c r="C174" s="17" t="str">
        <f t="shared" si="13"/>
        <v>19</v>
      </c>
      <c r="D174" s="17" t="str">
        <f t="shared" si="14"/>
        <v>Feb</v>
      </c>
      <c r="E174" s="5" t="s">
        <v>140</v>
      </c>
      <c r="F174" s="5" t="s">
        <v>62</v>
      </c>
      <c r="G174" s="5" t="s">
        <v>23</v>
      </c>
      <c r="H174" s="5" t="s">
        <v>63</v>
      </c>
      <c r="I174" s="5" t="s">
        <v>47</v>
      </c>
      <c r="J174" s="6">
        <v>15</v>
      </c>
      <c r="K174" s="5" t="s">
        <v>14</v>
      </c>
      <c r="L174" t="s">
        <v>216</v>
      </c>
      <c r="M174" t="str">
        <f>VLOOKUP(E174,Price!$A$2:$C$9,3,)</f>
        <v>$64.00</v>
      </c>
      <c r="N174">
        <f t="shared" si="15"/>
        <v>1680</v>
      </c>
      <c r="O174">
        <f t="shared" si="16"/>
        <v>960</v>
      </c>
      <c r="P174">
        <f t="shared" si="17"/>
        <v>720</v>
      </c>
      <c r="Q174" s="20">
        <f>Table1[[#This Row],[Profit ]]/Table1[[#This Row],[Total Revenue]]</f>
        <v>0.42857142857142855</v>
      </c>
    </row>
    <row r="175" spans="1:17" ht="15.75" thickBot="1" x14ac:dyDescent="0.3">
      <c r="A175" s="10" t="s">
        <v>114</v>
      </c>
      <c r="B175" s="16" t="str">
        <f t="shared" si="12"/>
        <v>2026</v>
      </c>
      <c r="C175" s="16" t="str">
        <f t="shared" si="13"/>
        <v>24</v>
      </c>
      <c r="D175" s="16" t="str">
        <f t="shared" si="14"/>
        <v>Jun</v>
      </c>
      <c r="E175" s="5" t="s">
        <v>21</v>
      </c>
      <c r="F175" s="5" t="s">
        <v>62</v>
      </c>
      <c r="G175" s="8" t="s">
        <v>36</v>
      </c>
      <c r="H175" s="5" t="s">
        <v>138</v>
      </c>
      <c r="I175" s="8" t="s">
        <v>49</v>
      </c>
      <c r="J175" s="9">
        <v>5</v>
      </c>
      <c r="K175" s="8" t="s">
        <v>50</v>
      </c>
      <c r="L175" t="s">
        <v>208</v>
      </c>
      <c r="M175" t="str">
        <f>VLOOKUP(E175,Price!$A$2:$C$9,3,)</f>
        <v>$14.00</v>
      </c>
      <c r="N175">
        <f t="shared" si="15"/>
        <v>160</v>
      </c>
      <c r="O175">
        <f t="shared" si="16"/>
        <v>70</v>
      </c>
      <c r="P175">
        <f t="shared" si="17"/>
        <v>90</v>
      </c>
      <c r="Q175" s="20">
        <f>Table1[[#This Row],[Profit ]]/Table1[[#This Row],[Total Revenue]]</f>
        <v>0.5625</v>
      </c>
    </row>
    <row r="176" spans="1:17" ht="15.75" thickBot="1" x14ac:dyDescent="0.3">
      <c r="A176" s="11">
        <v>46114</v>
      </c>
      <c r="B176" s="17" t="str">
        <f t="shared" si="12"/>
        <v>6114</v>
      </c>
      <c r="C176" s="17" t="str">
        <f t="shared" si="13"/>
        <v>14</v>
      </c>
      <c r="D176" s="17" t="str">
        <f t="shared" si="14"/>
        <v>Oct</v>
      </c>
      <c r="E176" s="5" t="s">
        <v>21</v>
      </c>
      <c r="F176" s="5" t="s">
        <v>10</v>
      </c>
      <c r="G176" s="5" t="s">
        <v>43</v>
      </c>
      <c r="H176" s="5" t="s">
        <v>138</v>
      </c>
      <c r="I176" s="5" t="s">
        <v>49</v>
      </c>
      <c r="J176" s="6">
        <v>15</v>
      </c>
      <c r="K176" s="5" t="s">
        <v>14</v>
      </c>
      <c r="L176" t="s">
        <v>208</v>
      </c>
      <c r="M176" t="str">
        <f>VLOOKUP(E176,Price!$A$2:$C$9,3,)</f>
        <v>$14.00</v>
      </c>
      <c r="N176">
        <f t="shared" si="15"/>
        <v>480</v>
      </c>
      <c r="O176">
        <f t="shared" si="16"/>
        <v>210</v>
      </c>
      <c r="P176">
        <f t="shared" si="17"/>
        <v>270</v>
      </c>
      <c r="Q176" s="20">
        <f>Table1[[#This Row],[Profit ]]/Table1[[#This Row],[Total Revenue]]</f>
        <v>0.5625</v>
      </c>
    </row>
    <row r="177" spans="1:17" ht="15.75" thickBot="1" x14ac:dyDescent="0.3">
      <c r="A177" s="10">
        <v>46327</v>
      </c>
      <c r="B177" s="16" t="str">
        <f t="shared" si="12"/>
        <v>6327</v>
      </c>
      <c r="C177" s="16" t="str">
        <f t="shared" si="13"/>
        <v>27</v>
      </c>
      <c r="D177" s="16" t="str">
        <f t="shared" si="14"/>
        <v>Oct</v>
      </c>
      <c r="E177" s="5" t="s">
        <v>34</v>
      </c>
      <c r="F177" s="5" t="s">
        <v>62</v>
      </c>
      <c r="G177" s="8" t="s">
        <v>17</v>
      </c>
      <c r="H177" s="5" t="s">
        <v>138</v>
      </c>
      <c r="I177" s="8" t="s">
        <v>64</v>
      </c>
      <c r="J177" s="9">
        <v>13</v>
      </c>
      <c r="K177" s="8" t="s">
        <v>42</v>
      </c>
      <c r="L177" t="s">
        <v>212</v>
      </c>
      <c r="M177" t="str">
        <f>VLOOKUP(E177,Price!$A$2:$C$9,3,)</f>
        <v>$72.00</v>
      </c>
      <c r="N177">
        <f t="shared" si="15"/>
        <v>1664</v>
      </c>
      <c r="O177">
        <f t="shared" si="16"/>
        <v>936</v>
      </c>
      <c r="P177">
        <f t="shared" si="17"/>
        <v>728</v>
      </c>
      <c r="Q177" s="20">
        <f>Table1[[#This Row],[Profit ]]/Table1[[#This Row],[Total Revenue]]</f>
        <v>0.4375</v>
      </c>
    </row>
    <row r="178" spans="1:17" ht="15.75" thickBot="1" x14ac:dyDescent="0.3">
      <c r="A178" s="11">
        <v>46211</v>
      </c>
      <c r="B178" s="17" t="str">
        <f t="shared" si="12"/>
        <v>6211</v>
      </c>
      <c r="C178" s="17" t="str">
        <f t="shared" si="13"/>
        <v>11</v>
      </c>
      <c r="D178" s="17" t="str">
        <f t="shared" si="14"/>
        <v>Oct</v>
      </c>
      <c r="E178" s="5" t="s">
        <v>140</v>
      </c>
      <c r="F178" s="5" t="s">
        <v>90</v>
      </c>
      <c r="G178" s="5" t="s">
        <v>23</v>
      </c>
      <c r="H178" s="5" t="s">
        <v>138</v>
      </c>
      <c r="I178" s="5" t="s">
        <v>25</v>
      </c>
      <c r="J178" s="6">
        <v>9</v>
      </c>
      <c r="K178" s="5" t="s">
        <v>42</v>
      </c>
      <c r="L178" t="s">
        <v>216</v>
      </c>
      <c r="M178" t="str">
        <f>VLOOKUP(E178,Price!$A$2:$C$9,3,)</f>
        <v>$64.00</v>
      </c>
      <c r="N178">
        <f t="shared" si="15"/>
        <v>1008</v>
      </c>
      <c r="O178">
        <f t="shared" si="16"/>
        <v>576</v>
      </c>
      <c r="P178">
        <f t="shared" si="17"/>
        <v>432</v>
      </c>
      <c r="Q178" s="20">
        <f>Table1[[#This Row],[Profit ]]/Table1[[#This Row],[Total Revenue]]</f>
        <v>0.42857142857142855</v>
      </c>
    </row>
    <row r="179" spans="1:17" ht="15.75" thickBot="1" x14ac:dyDescent="0.3">
      <c r="A179" s="10">
        <v>46330</v>
      </c>
      <c r="B179" s="16" t="str">
        <f t="shared" si="12"/>
        <v>6330</v>
      </c>
      <c r="C179" s="16" t="str">
        <f t="shared" si="13"/>
        <v>30</v>
      </c>
      <c r="D179" s="16" t="str">
        <f t="shared" si="14"/>
        <v>Oct</v>
      </c>
      <c r="E179" s="5" t="s">
        <v>21</v>
      </c>
      <c r="F179" s="5" t="s">
        <v>35</v>
      </c>
      <c r="G179" s="8" t="s">
        <v>17</v>
      </c>
      <c r="H179" s="5" t="s">
        <v>52</v>
      </c>
      <c r="I179" s="8" t="s">
        <v>64</v>
      </c>
      <c r="J179" s="9">
        <v>9</v>
      </c>
      <c r="K179" s="8" t="s">
        <v>19</v>
      </c>
      <c r="L179" t="s">
        <v>208</v>
      </c>
      <c r="M179" t="str">
        <f>VLOOKUP(E179,Price!$A$2:$C$9,3,)</f>
        <v>$14.00</v>
      </c>
      <c r="N179">
        <f t="shared" si="15"/>
        <v>288</v>
      </c>
      <c r="O179">
        <f t="shared" si="16"/>
        <v>126</v>
      </c>
      <c r="P179">
        <f t="shared" si="17"/>
        <v>162</v>
      </c>
      <c r="Q179" s="20">
        <f>Table1[[#This Row],[Profit ]]/Table1[[#This Row],[Total Revenue]]</f>
        <v>0.5625</v>
      </c>
    </row>
    <row r="180" spans="1:17" ht="15.75" thickBot="1" x14ac:dyDescent="0.3">
      <c r="A180" s="11">
        <v>46113</v>
      </c>
      <c r="B180" s="17" t="str">
        <f t="shared" si="12"/>
        <v>6113</v>
      </c>
      <c r="C180" s="17" t="str">
        <f t="shared" si="13"/>
        <v>13</v>
      </c>
      <c r="D180" s="17" t="str">
        <f t="shared" si="14"/>
        <v>Oct</v>
      </c>
      <c r="E180" s="5" t="s">
        <v>118</v>
      </c>
      <c r="F180" s="5" t="s">
        <v>62</v>
      </c>
      <c r="G180" s="5" t="s">
        <v>23</v>
      </c>
      <c r="H180" s="5" t="s">
        <v>52</v>
      </c>
      <c r="I180" s="5" t="s">
        <v>73</v>
      </c>
      <c r="J180" s="6">
        <v>9</v>
      </c>
      <c r="K180" s="5" t="s">
        <v>19</v>
      </c>
      <c r="L180" t="s">
        <v>218</v>
      </c>
      <c r="M180" t="str">
        <f>VLOOKUP(E180,Price!$A$2:$C$9,3,)</f>
        <v>$67.00</v>
      </c>
      <c r="N180">
        <f t="shared" si="15"/>
        <v>1071</v>
      </c>
      <c r="O180">
        <f t="shared" si="16"/>
        <v>603</v>
      </c>
      <c r="P180">
        <f t="shared" si="17"/>
        <v>468</v>
      </c>
      <c r="Q180" s="20">
        <f>Table1[[#This Row],[Profit ]]/Table1[[#This Row],[Total Revenue]]</f>
        <v>0.43697478991596639</v>
      </c>
    </row>
    <row r="181" spans="1:17" ht="15.75" thickBot="1" x14ac:dyDescent="0.3">
      <c r="A181" s="10">
        <v>46237</v>
      </c>
      <c r="B181" s="16" t="str">
        <f t="shared" si="12"/>
        <v>6237</v>
      </c>
      <c r="C181" s="16" t="str">
        <f t="shared" si="13"/>
        <v>37</v>
      </c>
      <c r="D181" s="16" t="str">
        <f t="shared" si="14"/>
        <v>Nov</v>
      </c>
      <c r="E181" s="5" t="s">
        <v>34</v>
      </c>
      <c r="F181" s="5" t="s">
        <v>10</v>
      </c>
      <c r="G181" s="8" t="s">
        <v>36</v>
      </c>
      <c r="H181" s="5" t="s">
        <v>138</v>
      </c>
      <c r="I181" s="8" t="s">
        <v>47</v>
      </c>
      <c r="J181" s="9">
        <v>3</v>
      </c>
      <c r="K181" s="8" t="s">
        <v>42</v>
      </c>
      <c r="L181" t="s">
        <v>212</v>
      </c>
      <c r="M181" t="str">
        <f>VLOOKUP(E181,Price!$A$2:$C$9,3,)</f>
        <v>$72.00</v>
      </c>
      <c r="N181">
        <f t="shared" si="15"/>
        <v>384</v>
      </c>
      <c r="O181">
        <f t="shared" si="16"/>
        <v>216</v>
      </c>
      <c r="P181">
        <f t="shared" si="17"/>
        <v>168</v>
      </c>
      <c r="Q181" s="20">
        <f>Table1[[#This Row],[Profit ]]/Table1[[#This Row],[Total Revenue]]</f>
        <v>0.4375</v>
      </c>
    </row>
    <row r="182" spans="1:17" ht="15.75" thickBot="1" x14ac:dyDescent="0.3">
      <c r="A182" s="11" t="s">
        <v>145</v>
      </c>
      <c r="B182" s="17" t="str">
        <f t="shared" si="12"/>
        <v>2026</v>
      </c>
      <c r="C182" s="17" t="str">
        <f t="shared" si="13"/>
        <v>25</v>
      </c>
      <c r="D182" s="17" t="str">
        <f t="shared" si="14"/>
        <v>Mar</v>
      </c>
      <c r="E182" s="5" t="s">
        <v>140</v>
      </c>
      <c r="F182" s="5" t="s">
        <v>62</v>
      </c>
      <c r="G182" s="5" t="s">
        <v>43</v>
      </c>
      <c r="H182" s="5" t="s">
        <v>63</v>
      </c>
      <c r="I182" s="5" t="s">
        <v>38</v>
      </c>
      <c r="J182" s="6">
        <v>2</v>
      </c>
      <c r="K182" s="5" t="s">
        <v>50</v>
      </c>
      <c r="L182" t="s">
        <v>216</v>
      </c>
      <c r="M182" t="str">
        <f>VLOOKUP(E182,Price!$A$2:$C$9,3,)</f>
        <v>$64.00</v>
      </c>
      <c r="N182">
        <f t="shared" si="15"/>
        <v>224</v>
      </c>
      <c r="O182">
        <f t="shared" si="16"/>
        <v>128</v>
      </c>
      <c r="P182">
        <f t="shared" si="17"/>
        <v>96</v>
      </c>
      <c r="Q182" s="20">
        <f>Table1[[#This Row],[Profit ]]/Table1[[#This Row],[Total Revenue]]</f>
        <v>0.42857142857142855</v>
      </c>
    </row>
    <row r="183" spans="1:17" ht="15.75" thickBot="1" x14ac:dyDescent="0.3">
      <c r="A183" s="10" t="s">
        <v>99</v>
      </c>
      <c r="B183" s="16" t="str">
        <f t="shared" si="12"/>
        <v>2026</v>
      </c>
      <c r="C183" s="16" t="str">
        <f t="shared" si="13"/>
        <v>23</v>
      </c>
      <c r="D183" s="16" t="str">
        <f t="shared" si="14"/>
        <v>May</v>
      </c>
      <c r="E183" s="5" t="s">
        <v>80</v>
      </c>
      <c r="F183" s="5" t="s">
        <v>35</v>
      </c>
      <c r="G183" s="8" t="s">
        <v>11</v>
      </c>
      <c r="H183" s="5" t="s">
        <v>67</v>
      </c>
      <c r="I183" s="8" t="s">
        <v>53</v>
      </c>
      <c r="J183" s="9">
        <v>6</v>
      </c>
      <c r="K183" s="8" t="s">
        <v>14</v>
      </c>
      <c r="L183" t="s">
        <v>210</v>
      </c>
      <c r="M183" t="str">
        <f>VLOOKUP(E183,Price!$A$2:$C$9,3,)</f>
        <v>$39.00</v>
      </c>
      <c r="N183">
        <f t="shared" si="15"/>
        <v>456</v>
      </c>
      <c r="O183">
        <f t="shared" si="16"/>
        <v>234</v>
      </c>
      <c r="P183">
        <f t="shared" si="17"/>
        <v>222</v>
      </c>
      <c r="Q183" s="20">
        <f>Table1[[#This Row],[Profit ]]/Table1[[#This Row],[Total Revenue]]</f>
        <v>0.48684210526315791</v>
      </c>
    </row>
    <row r="184" spans="1:17" ht="15.75" thickBot="1" x14ac:dyDescent="0.3">
      <c r="A184" s="11">
        <v>46331</v>
      </c>
      <c r="B184" s="17" t="str">
        <f t="shared" si="12"/>
        <v>6331</v>
      </c>
      <c r="C184" s="17" t="str">
        <f t="shared" si="13"/>
        <v>31</v>
      </c>
      <c r="D184" s="17" t="str">
        <f t="shared" si="14"/>
        <v>Oct</v>
      </c>
      <c r="E184" s="5" t="s">
        <v>118</v>
      </c>
      <c r="F184" s="5" t="s">
        <v>90</v>
      </c>
      <c r="G184" s="5" t="s">
        <v>43</v>
      </c>
      <c r="H184" s="5" t="s">
        <v>63</v>
      </c>
      <c r="I184" s="5" t="s">
        <v>41</v>
      </c>
      <c r="J184" s="6">
        <v>4</v>
      </c>
      <c r="K184" s="5" t="s">
        <v>19</v>
      </c>
      <c r="L184" t="s">
        <v>218</v>
      </c>
      <c r="M184" t="str">
        <f>VLOOKUP(E184,Price!$A$2:$C$9,3,)</f>
        <v>$67.00</v>
      </c>
      <c r="N184">
        <f t="shared" si="15"/>
        <v>476</v>
      </c>
      <c r="O184">
        <f t="shared" si="16"/>
        <v>268</v>
      </c>
      <c r="P184">
        <f t="shared" si="17"/>
        <v>208</v>
      </c>
      <c r="Q184" s="20">
        <f>Table1[[#This Row],[Profit ]]/Table1[[#This Row],[Total Revenue]]</f>
        <v>0.43697478991596639</v>
      </c>
    </row>
    <row r="185" spans="1:17" ht="15.75" thickBot="1" x14ac:dyDescent="0.3">
      <c r="A185" s="10">
        <v>46241</v>
      </c>
      <c r="B185" s="16" t="str">
        <f t="shared" si="12"/>
        <v>6241</v>
      </c>
      <c r="C185" s="16" t="str">
        <f t="shared" si="13"/>
        <v>41</v>
      </c>
      <c r="D185" s="16" t="str">
        <f t="shared" si="14"/>
        <v>Nov</v>
      </c>
      <c r="E185" s="5" t="s">
        <v>118</v>
      </c>
      <c r="F185" s="5" t="s">
        <v>10</v>
      </c>
      <c r="G185" s="8" t="s">
        <v>17</v>
      </c>
      <c r="H185" s="5" t="s">
        <v>63</v>
      </c>
      <c r="I185" s="8" t="s">
        <v>56</v>
      </c>
      <c r="J185" s="9">
        <v>7</v>
      </c>
      <c r="K185" s="8" t="s">
        <v>19</v>
      </c>
      <c r="L185" t="s">
        <v>218</v>
      </c>
      <c r="M185" t="str">
        <f>VLOOKUP(E185,Price!$A$2:$C$9,3,)</f>
        <v>$67.00</v>
      </c>
      <c r="N185">
        <f t="shared" si="15"/>
        <v>833</v>
      </c>
      <c r="O185">
        <f t="shared" si="16"/>
        <v>469</v>
      </c>
      <c r="P185">
        <f t="shared" si="17"/>
        <v>364</v>
      </c>
      <c r="Q185" s="20">
        <f>Table1[[#This Row],[Profit ]]/Table1[[#This Row],[Total Revenue]]</f>
        <v>0.43697478991596639</v>
      </c>
    </row>
    <row r="186" spans="1:17" ht="15.75" thickBot="1" x14ac:dyDescent="0.3">
      <c r="A186" s="11">
        <v>46084</v>
      </c>
      <c r="B186" s="17" t="str">
        <f t="shared" si="12"/>
        <v>6084</v>
      </c>
      <c r="C186" s="17" t="str">
        <f t="shared" si="13"/>
        <v>84</v>
      </c>
      <c r="D186" s="17" t="str">
        <f t="shared" si="14"/>
        <v>Dec</v>
      </c>
      <c r="E186" s="5" t="s">
        <v>97</v>
      </c>
      <c r="F186" s="5" t="s">
        <v>62</v>
      </c>
      <c r="G186" s="5" t="s">
        <v>36</v>
      </c>
      <c r="H186" s="5" t="s">
        <v>63</v>
      </c>
      <c r="I186" s="5" t="s">
        <v>28</v>
      </c>
      <c r="J186" s="6">
        <v>14</v>
      </c>
      <c r="K186" s="5" t="s">
        <v>19</v>
      </c>
      <c r="L186" t="s">
        <v>206</v>
      </c>
      <c r="M186" t="str">
        <f>VLOOKUP(E186,Price!$A$2:$C$9,3,)</f>
        <v>$28.00</v>
      </c>
      <c r="N186">
        <f t="shared" si="15"/>
        <v>756</v>
      </c>
      <c r="O186">
        <f t="shared" si="16"/>
        <v>392</v>
      </c>
      <c r="P186">
        <f t="shared" si="17"/>
        <v>364</v>
      </c>
      <c r="Q186" s="20">
        <f>Table1[[#This Row],[Profit ]]/Table1[[#This Row],[Total Revenue]]</f>
        <v>0.48148148148148145</v>
      </c>
    </row>
    <row r="187" spans="1:17" ht="15.75" thickBot="1" x14ac:dyDescent="0.3">
      <c r="A187" s="10" t="s">
        <v>81</v>
      </c>
      <c r="B187" s="16" t="str">
        <f t="shared" si="12"/>
        <v>2026</v>
      </c>
      <c r="C187" s="16" t="str">
        <f t="shared" si="13"/>
        <v>13</v>
      </c>
      <c r="D187" s="16" t="str">
        <f t="shared" si="14"/>
        <v>Mar</v>
      </c>
      <c r="E187" s="5" t="s">
        <v>97</v>
      </c>
      <c r="F187" s="5" t="s">
        <v>35</v>
      </c>
      <c r="G187" s="8" t="s">
        <v>11</v>
      </c>
      <c r="H187" s="5" t="s">
        <v>12</v>
      </c>
      <c r="I187" s="8" t="s">
        <v>86</v>
      </c>
      <c r="J187" s="9">
        <v>12</v>
      </c>
      <c r="K187" s="8" t="s">
        <v>14</v>
      </c>
      <c r="L187" t="s">
        <v>206</v>
      </c>
      <c r="M187" t="str">
        <f>VLOOKUP(E187,Price!$A$2:$C$9,3,)</f>
        <v>$28.00</v>
      </c>
      <c r="N187">
        <f t="shared" si="15"/>
        <v>648</v>
      </c>
      <c r="O187">
        <f t="shared" si="16"/>
        <v>336</v>
      </c>
      <c r="P187">
        <f t="shared" si="17"/>
        <v>312</v>
      </c>
      <c r="Q187" s="20">
        <f>Table1[[#This Row],[Profit ]]/Table1[[#This Row],[Total Revenue]]</f>
        <v>0.48148148148148145</v>
      </c>
    </row>
    <row r="188" spans="1:17" ht="15.75" thickBot="1" x14ac:dyDescent="0.3">
      <c r="A188" s="11">
        <v>46150</v>
      </c>
      <c r="B188" s="17" t="str">
        <f t="shared" si="12"/>
        <v>6150</v>
      </c>
      <c r="C188" s="17" t="str">
        <f t="shared" si="13"/>
        <v>50</v>
      </c>
      <c r="D188" s="17" t="str">
        <f t="shared" si="14"/>
        <v>Nov</v>
      </c>
      <c r="E188" s="5" t="s">
        <v>21</v>
      </c>
      <c r="F188" s="5" t="s">
        <v>10</v>
      </c>
      <c r="G188" s="5" t="s">
        <v>11</v>
      </c>
      <c r="H188" s="5" t="s">
        <v>63</v>
      </c>
      <c r="I188" s="5" t="s">
        <v>33</v>
      </c>
      <c r="J188" s="6">
        <v>11</v>
      </c>
      <c r="K188" s="5" t="s">
        <v>19</v>
      </c>
      <c r="L188" t="s">
        <v>208</v>
      </c>
      <c r="M188" t="str">
        <f>VLOOKUP(E188,Price!$A$2:$C$9,3,)</f>
        <v>$14.00</v>
      </c>
      <c r="N188">
        <f t="shared" si="15"/>
        <v>352</v>
      </c>
      <c r="O188">
        <f t="shared" si="16"/>
        <v>154</v>
      </c>
      <c r="P188">
        <f t="shared" si="17"/>
        <v>198</v>
      </c>
      <c r="Q188" s="20">
        <f>Table1[[#This Row],[Profit ]]/Table1[[#This Row],[Total Revenue]]</f>
        <v>0.5625</v>
      </c>
    </row>
    <row r="189" spans="1:17" ht="15.75" thickBot="1" x14ac:dyDescent="0.3">
      <c r="A189" s="10">
        <v>46059</v>
      </c>
      <c r="B189" s="16" t="str">
        <f t="shared" si="12"/>
        <v>6059</v>
      </c>
      <c r="C189" s="16" t="str">
        <f t="shared" si="13"/>
        <v>59</v>
      </c>
      <c r="D189" s="16" t="str">
        <f t="shared" si="14"/>
        <v>Nov</v>
      </c>
      <c r="E189" s="5" t="s">
        <v>118</v>
      </c>
      <c r="F189" s="5" t="s">
        <v>35</v>
      </c>
      <c r="G189" s="8" t="s">
        <v>23</v>
      </c>
      <c r="H189" s="5" t="s">
        <v>63</v>
      </c>
      <c r="I189" s="8" t="s">
        <v>33</v>
      </c>
      <c r="J189" s="9">
        <v>4</v>
      </c>
      <c r="K189" s="8" t="s">
        <v>14</v>
      </c>
      <c r="L189" t="s">
        <v>218</v>
      </c>
      <c r="M189" t="str">
        <f>VLOOKUP(E189,Price!$A$2:$C$9,3,)</f>
        <v>$67.00</v>
      </c>
      <c r="N189">
        <f t="shared" si="15"/>
        <v>476</v>
      </c>
      <c r="O189">
        <f t="shared" si="16"/>
        <v>268</v>
      </c>
      <c r="P189">
        <f t="shared" si="17"/>
        <v>208</v>
      </c>
      <c r="Q189" s="20">
        <f>Table1[[#This Row],[Profit ]]/Table1[[#This Row],[Total Revenue]]</f>
        <v>0.43697478991596639</v>
      </c>
    </row>
    <row r="190" spans="1:17" ht="15.75" thickBot="1" x14ac:dyDescent="0.3">
      <c r="A190" s="11" t="s">
        <v>149</v>
      </c>
      <c r="B190" s="17" t="str">
        <f t="shared" si="12"/>
        <v>2026</v>
      </c>
      <c r="C190" s="17" t="str">
        <f t="shared" si="13"/>
        <v>17</v>
      </c>
      <c r="D190" s="17" t="str">
        <f t="shared" si="14"/>
        <v>Jan</v>
      </c>
      <c r="E190" s="5" t="s">
        <v>72</v>
      </c>
      <c r="F190" s="5" t="s">
        <v>10</v>
      </c>
      <c r="G190" s="5" t="s">
        <v>11</v>
      </c>
      <c r="H190" s="5" t="s">
        <v>12</v>
      </c>
      <c r="I190" s="5" t="s">
        <v>73</v>
      </c>
      <c r="J190" s="6">
        <v>4</v>
      </c>
      <c r="K190" s="5" t="s">
        <v>14</v>
      </c>
      <c r="L190" t="s">
        <v>214</v>
      </c>
      <c r="M190" t="str">
        <f>VLOOKUP(E190,Price!$A$2:$C$9,3,)</f>
        <v>$58.00</v>
      </c>
      <c r="N190">
        <f t="shared" si="15"/>
        <v>420</v>
      </c>
      <c r="O190">
        <f t="shared" si="16"/>
        <v>232</v>
      </c>
      <c r="P190">
        <f t="shared" si="17"/>
        <v>188</v>
      </c>
      <c r="Q190" s="20">
        <f>Table1[[#This Row],[Profit ]]/Table1[[#This Row],[Total Revenue]]</f>
        <v>0.44761904761904764</v>
      </c>
    </row>
    <row r="191" spans="1:17" ht="15.75" thickBot="1" x14ac:dyDescent="0.3">
      <c r="A191" s="10">
        <v>46210</v>
      </c>
      <c r="B191" s="16" t="str">
        <f t="shared" si="12"/>
        <v>6210</v>
      </c>
      <c r="C191" s="16" t="str">
        <f t="shared" si="13"/>
        <v>10</v>
      </c>
      <c r="D191" s="16" t="str">
        <f t="shared" si="14"/>
        <v>Oct</v>
      </c>
      <c r="E191" s="5" t="s">
        <v>21</v>
      </c>
      <c r="F191" s="5" t="s">
        <v>10</v>
      </c>
      <c r="G191" s="8" t="s">
        <v>17</v>
      </c>
      <c r="H191" s="5" t="s">
        <v>63</v>
      </c>
      <c r="I191" s="8" t="s">
        <v>56</v>
      </c>
      <c r="J191" s="9">
        <v>3</v>
      </c>
      <c r="K191" s="8" t="s">
        <v>19</v>
      </c>
      <c r="L191" t="s">
        <v>208</v>
      </c>
      <c r="M191" t="str">
        <f>VLOOKUP(E191,Price!$A$2:$C$9,3,)</f>
        <v>$14.00</v>
      </c>
      <c r="N191">
        <f t="shared" si="15"/>
        <v>96</v>
      </c>
      <c r="O191">
        <f t="shared" si="16"/>
        <v>42</v>
      </c>
      <c r="P191">
        <f t="shared" si="17"/>
        <v>54</v>
      </c>
      <c r="Q191" s="20">
        <f>Table1[[#This Row],[Profit ]]/Table1[[#This Row],[Total Revenue]]</f>
        <v>0.5625</v>
      </c>
    </row>
    <row r="192" spans="1:17" ht="15.75" thickBot="1" x14ac:dyDescent="0.3">
      <c r="A192" s="11" t="s">
        <v>99</v>
      </c>
      <c r="B192" s="17" t="str">
        <f t="shared" si="12"/>
        <v>2026</v>
      </c>
      <c r="C192" s="17" t="str">
        <f t="shared" si="13"/>
        <v>23</v>
      </c>
      <c r="D192" s="17" t="str">
        <f t="shared" si="14"/>
        <v>May</v>
      </c>
      <c r="E192" s="5" t="s">
        <v>140</v>
      </c>
      <c r="F192" s="5" t="s">
        <v>62</v>
      </c>
      <c r="G192" s="5" t="s">
        <v>43</v>
      </c>
      <c r="H192" s="5" t="s">
        <v>67</v>
      </c>
      <c r="I192" s="5" t="s">
        <v>47</v>
      </c>
      <c r="J192" s="6">
        <v>15</v>
      </c>
      <c r="K192" s="5" t="s">
        <v>19</v>
      </c>
      <c r="L192" t="s">
        <v>216</v>
      </c>
      <c r="M192" t="str">
        <f>VLOOKUP(E192,Price!$A$2:$C$9,3,)</f>
        <v>$64.00</v>
      </c>
      <c r="N192">
        <f t="shared" si="15"/>
        <v>1680</v>
      </c>
      <c r="O192">
        <f t="shared" si="16"/>
        <v>960</v>
      </c>
      <c r="P192">
        <f t="shared" si="17"/>
        <v>720</v>
      </c>
      <c r="Q192" s="20">
        <f>Table1[[#This Row],[Profit ]]/Table1[[#This Row],[Total Revenue]]</f>
        <v>0.42857142857142855</v>
      </c>
    </row>
    <row r="193" spans="1:17" ht="15.75" thickBot="1" x14ac:dyDescent="0.3">
      <c r="A193" s="10" t="s">
        <v>93</v>
      </c>
      <c r="B193" s="16" t="str">
        <f t="shared" si="12"/>
        <v>2026</v>
      </c>
      <c r="C193" s="16" t="str">
        <f t="shared" si="13"/>
        <v>19</v>
      </c>
      <c r="D193" s="16" t="str">
        <f t="shared" si="14"/>
        <v>Feb</v>
      </c>
      <c r="E193" s="5" t="s">
        <v>74</v>
      </c>
      <c r="F193" s="5" t="s">
        <v>35</v>
      </c>
      <c r="G193" s="8" t="s">
        <v>36</v>
      </c>
      <c r="H193" s="5" t="s">
        <v>138</v>
      </c>
      <c r="I193" s="8" t="s">
        <v>47</v>
      </c>
      <c r="J193" s="9">
        <v>9</v>
      </c>
      <c r="K193" s="8" t="s">
        <v>19</v>
      </c>
      <c r="L193" t="s">
        <v>204</v>
      </c>
      <c r="M193" t="str">
        <f>VLOOKUP(E193,Price!$A$2:$C$9,3,)</f>
        <v>$47.00</v>
      </c>
      <c r="N193">
        <f t="shared" si="15"/>
        <v>801</v>
      </c>
      <c r="O193">
        <f t="shared" si="16"/>
        <v>423</v>
      </c>
      <c r="P193">
        <f t="shared" si="17"/>
        <v>378</v>
      </c>
      <c r="Q193" s="20">
        <f>Table1[[#This Row],[Profit ]]/Table1[[#This Row],[Total Revenue]]</f>
        <v>0.47191011235955055</v>
      </c>
    </row>
    <row r="194" spans="1:17" ht="15.75" thickBot="1" x14ac:dyDescent="0.3">
      <c r="A194" s="11">
        <v>46177</v>
      </c>
      <c r="B194" s="17" t="str">
        <f t="shared" ref="B194:B257" si="18">RIGHT(TRIM(A194), 4)</f>
        <v>6177</v>
      </c>
      <c r="C194" s="17" t="str">
        <f t="shared" ref="C194:C257" si="19">MID(TRIM(A194), 4, 2)</f>
        <v>77</v>
      </c>
      <c r="D194" s="17" t="str">
        <f t="shared" ref="D194:D257" si="20">TEXT(DATE(RIGHT(TRIM(A194), 4), LEFT(TRIM(A194), 2), MID(TRIM(A194), 4, 2)), "mmm")</f>
        <v>Dec</v>
      </c>
      <c r="E194" s="5" t="s">
        <v>34</v>
      </c>
      <c r="F194" s="5" t="s">
        <v>90</v>
      </c>
      <c r="G194" s="5" t="s">
        <v>36</v>
      </c>
      <c r="H194" s="5" t="s">
        <v>63</v>
      </c>
      <c r="I194" s="5" t="s">
        <v>41</v>
      </c>
      <c r="J194" s="6">
        <v>12</v>
      </c>
      <c r="K194" s="5" t="s">
        <v>14</v>
      </c>
      <c r="L194" t="s">
        <v>212</v>
      </c>
      <c r="M194" t="str">
        <f>VLOOKUP(E194,Price!$A$2:$C$9,3,)</f>
        <v>$72.00</v>
      </c>
      <c r="N194">
        <f t="shared" si="15"/>
        <v>1536</v>
      </c>
      <c r="O194">
        <f t="shared" si="16"/>
        <v>864</v>
      </c>
      <c r="P194">
        <f t="shared" si="17"/>
        <v>672</v>
      </c>
      <c r="Q194" s="20">
        <f>Table1[[#This Row],[Profit ]]/Table1[[#This Row],[Total Revenue]]</f>
        <v>0.4375</v>
      </c>
    </row>
    <row r="195" spans="1:17" ht="15.75" thickBot="1" x14ac:dyDescent="0.3">
      <c r="A195" s="10" t="s">
        <v>150</v>
      </c>
      <c r="B195" s="16" t="str">
        <f t="shared" si="18"/>
        <v>2026</v>
      </c>
      <c r="C195" s="16" t="str">
        <f t="shared" si="19"/>
        <v>24</v>
      </c>
      <c r="D195" s="16" t="str">
        <f t="shared" si="20"/>
        <v>Mar</v>
      </c>
      <c r="E195" s="5" t="s">
        <v>140</v>
      </c>
      <c r="F195" s="5" t="s">
        <v>90</v>
      </c>
      <c r="G195" s="8" t="s">
        <v>36</v>
      </c>
      <c r="H195" s="5" t="s">
        <v>63</v>
      </c>
      <c r="I195" s="8" t="s">
        <v>38</v>
      </c>
      <c r="J195" s="9">
        <v>5</v>
      </c>
      <c r="K195" s="8" t="s">
        <v>42</v>
      </c>
      <c r="L195" t="s">
        <v>216</v>
      </c>
      <c r="M195" t="str">
        <f>VLOOKUP(E195,Price!$A$2:$C$9,3,)</f>
        <v>$64.00</v>
      </c>
      <c r="N195">
        <f t="shared" ref="N195:N258" si="21">J195 * VALUE(SUBSTITUTE(L195,"$",""))</f>
        <v>560</v>
      </c>
      <c r="O195">
        <f t="shared" ref="O195:O258" si="22">J195*VALUE(SUBSTITUTE(M195,"$",""))</f>
        <v>320</v>
      </c>
      <c r="P195">
        <f t="shared" ref="P195:P258" si="23">N195-O195</f>
        <v>240</v>
      </c>
      <c r="Q195" s="20">
        <f>Table1[[#This Row],[Profit ]]/Table1[[#This Row],[Total Revenue]]</f>
        <v>0.42857142857142855</v>
      </c>
    </row>
    <row r="196" spans="1:17" ht="15.75" thickBot="1" x14ac:dyDescent="0.3">
      <c r="A196" s="11">
        <v>46146</v>
      </c>
      <c r="B196" s="17" t="str">
        <f t="shared" si="18"/>
        <v>6146</v>
      </c>
      <c r="C196" s="17" t="str">
        <f t="shared" si="19"/>
        <v>46</v>
      </c>
      <c r="D196" s="17" t="str">
        <f t="shared" si="20"/>
        <v>Nov</v>
      </c>
      <c r="E196" s="5" t="s">
        <v>80</v>
      </c>
      <c r="F196" s="5" t="s">
        <v>10</v>
      </c>
      <c r="G196" s="5" t="s">
        <v>43</v>
      </c>
      <c r="H196" s="5" t="s">
        <v>52</v>
      </c>
      <c r="I196" s="5" t="s">
        <v>49</v>
      </c>
      <c r="J196" s="6">
        <v>4</v>
      </c>
      <c r="K196" s="5" t="s">
        <v>50</v>
      </c>
      <c r="L196" t="s">
        <v>210</v>
      </c>
      <c r="M196" t="str">
        <f>VLOOKUP(E196,Price!$A$2:$C$9,3,)</f>
        <v>$39.00</v>
      </c>
      <c r="N196">
        <f t="shared" si="21"/>
        <v>304</v>
      </c>
      <c r="O196">
        <f t="shared" si="22"/>
        <v>156</v>
      </c>
      <c r="P196">
        <f t="shared" si="23"/>
        <v>148</v>
      </c>
      <c r="Q196" s="20">
        <f>Table1[[#This Row],[Profit ]]/Table1[[#This Row],[Total Revenue]]</f>
        <v>0.48684210526315791</v>
      </c>
    </row>
    <row r="197" spans="1:17" ht="15.75" thickBot="1" x14ac:dyDescent="0.3">
      <c r="A197" s="10" t="s">
        <v>125</v>
      </c>
      <c r="B197" s="16" t="str">
        <f t="shared" si="18"/>
        <v>2026</v>
      </c>
      <c r="C197" s="16" t="str">
        <f t="shared" si="19"/>
        <v>20</v>
      </c>
      <c r="D197" s="16" t="str">
        <f t="shared" si="20"/>
        <v>Jul</v>
      </c>
      <c r="E197" s="5" t="s">
        <v>74</v>
      </c>
      <c r="F197" s="5" t="s">
        <v>35</v>
      </c>
      <c r="G197" s="8" t="s">
        <v>36</v>
      </c>
      <c r="H197" s="5" t="s">
        <v>63</v>
      </c>
      <c r="I197" s="8" t="s">
        <v>103</v>
      </c>
      <c r="J197" s="9">
        <v>10</v>
      </c>
      <c r="K197" s="8" t="s">
        <v>19</v>
      </c>
      <c r="L197" t="s">
        <v>204</v>
      </c>
      <c r="M197" t="str">
        <f>VLOOKUP(E197,Price!$A$2:$C$9,3,)</f>
        <v>$47.00</v>
      </c>
      <c r="N197">
        <f t="shared" si="21"/>
        <v>890</v>
      </c>
      <c r="O197">
        <f t="shared" si="22"/>
        <v>470</v>
      </c>
      <c r="P197">
        <f t="shared" si="23"/>
        <v>420</v>
      </c>
      <c r="Q197" s="20">
        <f>Table1[[#This Row],[Profit ]]/Table1[[#This Row],[Total Revenue]]</f>
        <v>0.47191011235955055</v>
      </c>
    </row>
    <row r="198" spans="1:17" ht="15.75" thickBot="1" x14ac:dyDescent="0.3">
      <c r="A198" s="11" t="s">
        <v>151</v>
      </c>
      <c r="B198" s="17" t="str">
        <f t="shared" si="18"/>
        <v>2026</v>
      </c>
      <c r="C198" s="17" t="str">
        <f t="shared" si="19"/>
        <v>18</v>
      </c>
      <c r="D198" s="17" t="str">
        <f t="shared" si="20"/>
        <v>Jul</v>
      </c>
      <c r="E198" s="5" t="s">
        <v>97</v>
      </c>
      <c r="F198" s="5" t="s">
        <v>90</v>
      </c>
      <c r="G198" s="5" t="s">
        <v>11</v>
      </c>
      <c r="H198" s="5" t="s">
        <v>138</v>
      </c>
      <c r="I198" s="5" t="s">
        <v>38</v>
      </c>
      <c r="J198" s="6">
        <v>4</v>
      </c>
      <c r="K198" s="5" t="s">
        <v>50</v>
      </c>
      <c r="L198" t="s">
        <v>206</v>
      </c>
      <c r="M198" t="str">
        <f>VLOOKUP(E198,Price!$A$2:$C$9,3,)</f>
        <v>$28.00</v>
      </c>
      <c r="N198">
        <f t="shared" si="21"/>
        <v>216</v>
      </c>
      <c r="O198">
        <f t="shared" si="22"/>
        <v>112</v>
      </c>
      <c r="P198">
        <f t="shared" si="23"/>
        <v>104</v>
      </c>
      <c r="Q198" s="20">
        <f>Table1[[#This Row],[Profit ]]/Table1[[#This Row],[Total Revenue]]</f>
        <v>0.48148148148148145</v>
      </c>
    </row>
    <row r="199" spans="1:17" ht="15.75" thickBot="1" x14ac:dyDescent="0.3">
      <c r="A199" s="10" t="s">
        <v>133</v>
      </c>
      <c r="B199" s="16" t="str">
        <f t="shared" si="18"/>
        <v>2026</v>
      </c>
      <c r="C199" s="16" t="str">
        <f t="shared" si="19"/>
        <v>14</v>
      </c>
      <c r="D199" s="16" t="str">
        <f t="shared" si="20"/>
        <v>Aug</v>
      </c>
      <c r="E199" s="5" t="s">
        <v>140</v>
      </c>
      <c r="F199" s="5" t="s">
        <v>62</v>
      </c>
      <c r="G199" s="8" t="s">
        <v>23</v>
      </c>
      <c r="H199" s="5" t="s">
        <v>52</v>
      </c>
      <c r="I199" s="8" t="s">
        <v>41</v>
      </c>
      <c r="J199" s="9">
        <v>1</v>
      </c>
      <c r="K199" s="8" t="s">
        <v>14</v>
      </c>
      <c r="L199" t="s">
        <v>216</v>
      </c>
      <c r="M199" t="str">
        <f>VLOOKUP(E199,Price!$A$2:$C$9,3,)</f>
        <v>$64.00</v>
      </c>
      <c r="N199">
        <f t="shared" si="21"/>
        <v>112</v>
      </c>
      <c r="O199">
        <f t="shared" si="22"/>
        <v>64</v>
      </c>
      <c r="P199">
        <f t="shared" si="23"/>
        <v>48</v>
      </c>
      <c r="Q199" s="20">
        <f>Table1[[#This Row],[Profit ]]/Table1[[#This Row],[Total Revenue]]</f>
        <v>0.42857142857142855</v>
      </c>
    </row>
    <row r="200" spans="1:17" ht="15.75" thickBot="1" x14ac:dyDescent="0.3">
      <c r="A200" s="11">
        <v>46024</v>
      </c>
      <c r="B200" s="17" t="str">
        <f t="shared" si="18"/>
        <v>6024</v>
      </c>
      <c r="C200" s="17" t="str">
        <f t="shared" si="19"/>
        <v>24</v>
      </c>
      <c r="D200" s="17" t="str">
        <f t="shared" si="20"/>
        <v>Oct</v>
      </c>
      <c r="E200" s="5" t="s">
        <v>74</v>
      </c>
      <c r="F200" s="5" t="s">
        <v>10</v>
      </c>
      <c r="G200" s="5" t="s">
        <v>36</v>
      </c>
      <c r="H200" s="5" t="s">
        <v>52</v>
      </c>
      <c r="I200" s="5" t="s">
        <v>56</v>
      </c>
      <c r="J200" s="6">
        <v>13</v>
      </c>
      <c r="K200" s="5" t="s">
        <v>19</v>
      </c>
      <c r="L200" t="s">
        <v>204</v>
      </c>
      <c r="M200" t="str">
        <f>VLOOKUP(E200,Price!$A$2:$C$9,3,)</f>
        <v>$47.00</v>
      </c>
      <c r="N200">
        <f t="shared" si="21"/>
        <v>1157</v>
      </c>
      <c r="O200">
        <f t="shared" si="22"/>
        <v>611</v>
      </c>
      <c r="P200">
        <f t="shared" si="23"/>
        <v>546</v>
      </c>
      <c r="Q200" s="20">
        <f>Table1[[#This Row],[Profit ]]/Table1[[#This Row],[Total Revenue]]</f>
        <v>0.47191011235955055</v>
      </c>
    </row>
    <row r="201" spans="1:17" ht="15.75" thickBot="1" x14ac:dyDescent="0.3">
      <c r="A201" s="10" t="s">
        <v>81</v>
      </c>
      <c r="B201" s="16" t="str">
        <f t="shared" si="18"/>
        <v>2026</v>
      </c>
      <c r="C201" s="16" t="str">
        <f t="shared" si="19"/>
        <v>13</v>
      </c>
      <c r="D201" s="16" t="str">
        <f t="shared" si="20"/>
        <v>Mar</v>
      </c>
      <c r="E201" s="5" t="s">
        <v>97</v>
      </c>
      <c r="F201" s="5" t="s">
        <v>90</v>
      </c>
      <c r="G201" s="8" t="s">
        <v>43</v>
      </c>
      <c r="H201" s="5" t="s">
        <v>52</v>
      </c>
      <c r="I201" s="8" t="s">
        <v>103</v>
      </c>
      <c r="J201" s="9">
        <v>7</v>
      </c>
      <c r="K201" s="8" t="s">
        <v>19</v>
      </c>
      <c r="L201" t="s">
        <v>206</v>
      </c>
      <c r="M201" t="str">
        <f>VLOOKUP(E201,Price!$A$2:$C$9,3,)</f>
        <v>$28.00</v>
      </c>
      <c r="N201">
        <f t="shared" si="21"/>
        <v>378</v>
      </c>
      <c r="O201">
        <f t="shared" si="22"/>
        <v>196</v>
      </c>
      <c r="P201">
        <f t="shared" si="23"/>
        <v>182</v>
      </c>
      <c r="Q201" s="20">
        <f>Table1[[#This Row],[Profit ]]/Table1[[#This Row],[Total Revenue]]</f>
        <v>0.48148148148148145</v>
      </c>
    </row>
    <row r="202" spans="1:17" ht="15.75" thickBot="1" x14ac:dyDescent="0.3">
      <c r="A202" s="11" t="s">
        <v>120</v>
      </c>
      <c r="B202" s="17" t="str">
        <f t="shared" si="18"/>
        <v>2026</v>
      </c>
      <c r="C202" s="17" t="str">
        <f t="shared" si="19"/>
        <v>14</v>
      </c>
      <c r="D202" s="17" t="str">
        <f t="shared" si="20"/>
        <v>Jun</v>
      </c>
      <c r="E202" s="5" t="s">
        <v>21</v>
      </c>
      <c r="F202" s="5" t="s">
        <v>10</v>
      </c>
      <c r="G202" s="5" t="s">
        <v>43</v>
      </c>
      <c r="H202" s="5" t="s">
        <v>52</v>
      </c>
      <c r="I202" s="5" t="s">
        <v>47</v>
      </c>
      <c r="J202" s="6">
        <v>10</v>
      </c>
      <c r="K202" s="5" t="s">
        <v>42</v>
      </c>
      <c r="L202" t="s">
        <v>208</v>
      </c>
      <c r="M202" t="str">
        <f>VLOOKUP(E202,Price!$A$2:$C$9,3,)</f>
        <v>$14.00</v>
      </c>
      <c r="N202">
        <f t="shared" si="21"/>
        <v>320</v>
      </c>
      <c r="O202">
        <f t="shared" si="22"/>
        <v>140</v>
      </c>
      <c r="P202">
        <f t="shared" si="23"/>
        <v>180</v>
      </c>
      <c r="Q202" s="20">
        <f>Table1[[#This Row],[Profit ]]/Table1[[#This Row],[Total Revenue]]</f>
        <v>0.5625</v>
      </c>
    </row>
    <row r="203" spans="1:17" ht="15.75" thickBot="1" x14ac:dyDescent="0.3">
      <c r="A203" s="10" t="s">
        <v>152</v>
      </c>
      <c r="B203" s="16" t="str">
        <f t="shared" si="18"/>
        <v>2026</v>
      </c>
      <c r="C203" s="16" t="str">
        <f t="shared" si="19"/>
        <v>25</v>
      </c>
      <c r="D203" s="16" t="str">
        <f t="shared" si="20"/>
        <v>Jan</v>
      </c>
      <c r="E203" s="5" t="s">
        <v>74</v>
      </c>
      <c r="F203" s="5" t="s">
        <v>10</v>
      </c>
      <c r="G203" s="8" t="s">
        <v>43</v>
      </c>
      <c r="H203" s="5" t="s">
        <v>63</v>
      </c>
      <c r="I203" s="8" t="s">
        <v>73</v>
      </c>
      <c r="J203" s="9">
        <v>5</v>
      </c>
      <c r="K203" s="8" t="s">
        <v>42</v>
      </c>
      <c r="L203" t="s">
        <v>204</v>
      </c>
      <c r="M203" t="str">
        <f>VLOOKUP(E203,Price!$A$2:$C$9,3,)</f>
        <v>$47.00</v>
      </c>
      <c r="N203">
        <f t="shared" si="21"/>
        <v>445</v>
      </c>
      <c r="O203">
        <f t="shared" si="22"/>
        <v>235</v>
      </c>
      <c r="P203">
        <f t="shared" si="23"/>
        <v>210</v>
      </c>
      <c r="Q203" s="20">
        <f>Table1[[#This Row],[Profit ]]/Table1[[#This Row],[Total Revenue]]</f>
        <v>0.47191011235955055</v>
      </c>
    </row>
    <row r="204" spans="1:17" ht="15.75" thickBot="1" x14ac:dyDescent="0.3">
      <c r="A204" s="11" t="s">
        <v>153</v>
      </c>
      <c r="B204" s="17" t="str">
        <f t="shared" si="18"/>
        <v>2026</v>
      </c>
      <c r="C204" s="17" t="str">
        <f t="shared" si="19"/>
        <v>27</v>
      </c>
      <c r="D204" s="17" t="str">
        <f t="shared" si="20"/>
        <v>Mar</v>
      </c>
      <c r="E204" s="5" t="s">
        <v>80</v>
      </c>
      <c r="F204" s="5" t="s">
        <v>62</v>
      </c>
      <c r="G204" s="5" t="s">
        <v>11</v>
      </c>
      <c r="H204" s="5" t="s">
        <v>52</v>
      </c>
      <c r="I204" s="5" t="s">
        <v>47</v>
      </c>
      <c r="J204" s="6">
        <v>2</v>
      </c>
      <c r="K204" s="5" t="s">
        <v>50</v>
      </c>
      <c r="L204" t="s">
        <v>210</v>
      </c>
      <c r="M204" t="str">
        <f>VLOOKUP(E204,Price!$A$2:$C$9,3,)</f>
        <v>$39.00</v>
      </c>
      <c r="N204">
        <f t="shared" si="21"/>
        <v>152</v>
      </c>
      <c r="O204">
        <f t="shared" si="22"/>
        <v>78</v>
      </c>
      <c r="P204">
        <f t="shared" si="23"/>
        <v>74</v>
      </c>
      <c r="Q204" s="20">
        <f>Table1[[#This Row],[Profit ]]/Table1[[#This Row],[Total Revenue]]</f>
        <v>0.48684210526315791</v>
      </c>
    </row>
    <row r="205" spans="1:17" ht="15.75" thickBot="1" x14ac:dyDescent="0.3">
      <c r="A205" s="10" t="s">
        <v>148</v>
      </c>
      <c r="B205" s="16" t="str">
        <f t="shared" si="18"/>
        <v>2026</v>
      </c>
      <c r="C205" s="16" t="str">
        <f t="shared" si="19"/>
        <v>25</v>
      </c>
      <c r="D205" s="16" t="str">
        <f t="shared" si="20"/>
        <v>Jun</v>
      </c>
      <c r="E205" s="5" t="s">
        <v>21</v>
      </c>
      <c r="F205" s="5" t="s">
        <v>62</v>
      </c>
      <c r="G205" s="8" t="s">
        <v>43</v>
      </c>
      <c r="H205" s="5" t="s">
        <v>52</v>
      </c>
      <c r="I205" s="8" t="s">
        <v>33</v>
      </c>
      <c r="J205" s="9">
        <v>8</v>
      </c>
      <c r="K205" s="8" t="s">
        <v>19</v>
      </c>
      <c r="L205" t="s">
        <v>208</v>
      </c>
      <c r="M205" t="str">
        <f>VLOOKUP(E205,Price!$A$2:$C$9,3,)</f>
        <v>$14.00</v>
      </c>
      <c r="N205">
        <f t="shared" si="21"/>
        <v>256</v>
      </c>
      <c r="O205">
        <f t="shared" si="22"/>
        <v>112</v>
      </c>
      <c r="P205">
        <f t="shared" si="23"/>
        <v>144</v>
      </c>
      <c r="Q205" s="20">
        <f>Table1[[#This Row],[Profit ]]/Table1[[#This Row],[Total Revenue]]</f>
        <v>0.5625</v>
      </c>
    </row>
    <row r="206" spans="1:17" ht="15.75" thickBot="1" x14ac:dyDescent="0.3">
      <c r="A206" s="11" t="s">
        <v>125</v>
      </c>
      <c r="B206" s="17" t="str">
        <f t="shared" si="18"/>
        <v>2026</v>
      </c>
      <c r="C206" s="17" t="str">
        <f t="shared" si="19"/>
        <v>20</v>
      </c>
      <c r="D206" s="17" t="str">
        <f t="shared" si="20"/>
        <v>Jul</v>
      </c>
      <c r="E206" s="5" t="s">
        <v>140</v>
      </c>
      <c r="F206" s="5" t="s">
        <v>10</v>
      </c>
      <c r="G206" s="5" t="s">
        <v>43</v>
      </c>
      <c r="H206" s="5" t="s">
        <v>63</v>
      </c>
      <c r="I206" s="5" t="s">
        <v>53</v>
      </c>
      <c r="J206" s="6">
        <v>4</v>
      </c>
      <c r="K206" s="5" t="s">
        <v>19</v>
      </c>
      <c r="L206" t="s">
        <v>216</v>
      </c>
      <c r="M206" t="str">
        <f>VLOOKUP(E206,Price!$A$2:$C$9,3,)</f>
        <v>$64.00</v>
      </c>
      <c r="N206">
        <f t="shared" si="21"/>
        <v>448</v>
      </c>
      <c r="O206">
        <f t="shared" si="22"/>
        <v>256</v>
      </c>
      <c r="P206">
        <f t="shared" si="23"/>
        <v>192</v>
      </c>
      <c r="Q206" s="20">
        <f>Table1[[#This Row],[Profit ]]/Table1[[#This Row],[Total Revenue]]</f>
        <v>0.42857142857142855</v>
      </c>
    </row>
    <row r="207" spans="1:17" ht="15.75" thickBot="1" x14ac:dyDescent="0.3">
      <c r="A207" s="10" t="s">
        <v>154</v>
      </c>
      <c r="B207" s="16" t="str">
        <f t="shared" si="18"/>
        <v>2026</v>
      </c>
      <c r="C207" s="16" t="str">
        <f t="shared" si="19"/>
        <v>24</v>
      </c>
      <c r="D207" s="16" t="str">
        <f t="shared" si="20"/>
        <v>Jan</v>
      </c>
      <c r="E207" s="5" t="s">
        <v>97</v>
      </c>
      <c r="F207" s="5" t="s">
        <v>62</v>
      </c>
      <c r="G207" s="8" t="s">
        <v>11</v>
      </c>
      <c r="H207" s="5" t="s">
        <v>67</v>
      </c>
      <c r="I207" s="8" t="s">
        <v>53</v>
      </c>
      <c r="J207" s="9">
        <v>10</v>
      </c>
      <c r="K207" s="8" t="s">
        <v>19</v>
      </c>
      <c r="L207" t="s">
        <v>206</v>
      </c>
      <c r="M207" t="str">
        <f>VLOOKUP(E207,Price!$A$2:$C$9,3,)</f>
        <v>$28.00</v>
      </c>
      <c r="N207">
        <f t="shared" si="21"/>
        <v>540</v>
      </c>
      <c r="O207">
        <f t="shared" si="22"/>
        <v>280</v>
      </c>
      <c r="P207">
        <f t="shared" si="23"/>
        <v>260</v>
      </c>
      <c r="Q207" s="20">
        <f>Table1[[#This Row],[Profit ]]/Table1[[#This Row],[Total Revenue]]</f>
        <v>0.48148148148148145</v>
      </c>
    </row>
    <row r="208" spans="1:17" ht="15.75" thickBot="1" x14ac:dyDescent="0.3">
      <c r="A208" s="11">
        <v>46207</v>
      </c>
      <c r="B208" s="17" t="str">
        <f t="shared" si="18"/>
        <v>6207</v>
      </c>
      <c r="C208" s="17" t="str">
        <f t="shared" si="19"/>
        <v>07</v>
      </c>
      <c r="D208" s="17" t="str">
        <f t="shared" si="20"/>
        <v>Oct</v>
      </c>
      <c r="E208" s="5" t="s">
        <v>140</v>
      </c>
      <c r="F208" s="5" t="s">
        <v>35</v>
      </c>
      <c r="G208" s="5" t="s">
        <v>23</v>
      </c>
      <c r="H208" s="5" t="s">
        <v>52</v>
      </c>
      <c r="I208" s="5" t="s">
        <v>73</v>
      </c>
      <c r="J208" s="6">
        <v>12</v>
      </c>
      <c r="K208" s="5" t="s">
        <v>14</v>
      </c>
      <c r="L208" t="s">
        <v>216</v>
      </c>
      <c r="M208" t="str">
        <f>VLOOKUP(E208,Price!$A$2:$C$9,3,)</f>
        <v>$64.00</v>
      </c>
      <c r="N208">
        <f t="shared" si="21"/>
        <v>1344</v>
      </c>
      <c r="O208">
        <f t="shared" si="22"/>
        <v>768</v>
      </c>
      <c r="P208">
        <f t="shared" si="23"/>
        <v>576</v>
      </c>
      <c r="Q208" s="20">
        <f>Table1[[#This Row],[Profit ]]/Table1[[#This Row],[Total Revenue]]</f>
        <v>0.42857142857142855</v>
      </c>
    </row>
    <row r="209" spans="1:17" ht="15.75" thickBot="1" x14ac:dyDescent="0.3">
      <c r="A209" s="10">
        <v>46146</v>
      </c>
      <c r="B209" s="16" t="str">
        <f t="shared" si="18"/>
        <v>6146</v>
      </c>
      <c r="C209" s="16" t="str">
        <f t="shared" si="19"/>
        <v>46</v>
      </c>
      <c r="D209" s="16" t="str">
        <f t="shared" si="20"/>
        <v>Nov</v>
      </c>
      <c r="E209" s="5" t="s">
        <v>80</v>
      </c>
      <c r="F209" s="5" t="s">
        <v>10</v>
      </c>
      <c r="G209" s="8" t="s">
        <v>23</v>
      </c>
      <c r="H209" s="5" t="s">
        <v>63</v>
      </c>
      <c r="I209" s="8" t="s">
        <v>13</v>
      </c>
      <c r="J209" s="9">
        <v>4</v>
      </c>
      <c r="K209" s="8" t="s">
        <v>19</v>
      </c>
      <c r="L209" t="s">
        <v>210</v>
      </c>
      <c r="M209" t="str">
        <f>VLOOKUP(E209,Price!$A$2:$C$9,3,)</f>
        <v>$39.00</v>
      </c>
      <c r="N209">
        <f t="shared" si="21"/>
        <v>304</v>
      </c>
      <c r="O209">
        <f t="shared" si="22"/>
        <v>156</v>
      </c>
      <c r="P209">
        <f t="shared" si="23"/>
        <v>148</v>
      </c>
      <c r="Q209" s="20">
        <f>Table1[[#This Row],[Profit ]]/Table1[[#This Row],[Total Revenue]]</f>
        <v>0.48684210526315791</v>
      </c>
    </row>
    <row r="210" spans="1:17" ht="15.75" thickBot="1" x14ac:dyDescent="0.3">
      <c r="A210" s="11">
        <v>46298</v>
      </c>
      <c r="B210" s="17" t="str">
        <f t="shared" si="18"/>
        <v>6298</v>
      </c>
      <c r="C210" s="17" t="str">
        <f t="shared" si="19"/>
        <v>98</v>
      </c>
      <c r="D210" s="17" t="str">
        <f t="shared" si="20"/>
        <v>Jan</v>
      </c>
      <c r="E210" s="5" t="s">
        <v>80</v>
      </c>
      <c r="F210" s="5" t="s">
        <v>10</v>
      </c>
      <c r="G210" s="5" t="s">
        <v>43</v>
      </c>
      <c r="H210" s="5" t="s">
        <v>63</v>
      </c>
      <c r="I210" s="5" t="s">
        <v>41</v>
      </c>
      <c r="J210" s="6">
        <v>6</v>
      </c>
      <c r="K210" s="5" t="s">
        <v>42</v>
      </c>
      <c r="L210" t="s">
        <v>210</v>
      </c>
      <c r="M210" t="str">
        <f>VLOOKUP(E210,Price!$A$2:$C$9,3,)</f>
        <v>$39.00</v>
      </c>
      <c r="N210">
        <f t="shared" si="21"/>
        <v>456</v>
      </c>
      <c r="O210">
        <f t="shared" si="22"/>
        <v>234</v>
      </c>
      <c r="P210">
        <f t="shared" si="23"/>
        <v>222</v>
      </c>
      <c r="Q210" s="20">
        <f>Table1[[#This Row],[Profit ]]/Table1[[#This Row],[Total Revenue]]</f>
        <v>0.48684210526315791</v>
      </c>
    </row>
    <row r="211" spans="1:17" ht="15.75" thickBot="1" x14ac:dyDescent="0.3">
      <c r="A211" s="10">
        <v>46239</v>
      </c>
      <c r="B211" s="16" t="str">
        <f t="shared" si="18"/>
        <v>6239</v>
      </c>
      <c r="C211" s="16" t="str">
        <f t="shared" si="19"/>
        <v>39</v>
      </c>
      <c r="D211" s="16" t="str">
        <f t="shared" si="20"/>
        <v>Nov</v>
      </c>
      <c r="E211" s="5" t="s">
        <v>140</v>
      </c>
      <c r="F211" s="5" t="s">
        <v>10</v>
      </c>
      <c r="G211" s="8" t="s">
        <v>11</v>
      </c>
      <c r="H211" s="5" t="s">
        <v>12</v>
      </c>
      <c r="I211" s="8" t="s">
        <v>28</v>
      </c>
      <c r="J211" s="9">
        <v>4</v>
      </c>
      <c r="K211" s="8" t="s">
        <v>19</v>
      </c>
      <c r="L211" t="s">
        <v>216</v>
      </c>
      <c r="M211" t="str">
        <f>VLOOKUP(E211,Price!$A$2:$C$9,3,)</f>
        <v>$64.00</v>
      </c>
      <c r="N211">
        <f t="shared" si="21"/>
        <v>448</v>
      </c>
      <c r="O211">
        <f t="shared" si="22"/>
        <v>256</v>
      </c>
      <c r="P211">
        <f t="shared" si="23"/>
        <v>192</v>
      </c>
      <c r="Q211" s="20">
        <f>Table1[[#This Row],[Profit ]]/Table1[[#This Row],[Total Revenue]]</f>
        <v>0.42857142857142855</v>
      </c>
    </row>
    <row r="212" spans="1:17" ht="15.75" thickBot="1" x14ac:dyDescent="0.3">
      <c r="A212" s="11">
        <v>46240</v>
      </c>
      <c r="B212" s="17" t="str">
        <f t="shared" si="18"/>
        <v>6240</v>
      </c>
      <c r="C212" s="17" t="str">
        <f t="shared" si="19"/>
        <v>40</v>
      </c>
      <c r="D212" s="17" t="str">
        <f t="shared" si="20"/>
        <v>Nov</v>
      </c>
      <c r="E212" s="5" t="s">
        <v>21</v>
      </c>
      <c r="F212" s="5" t="s">
        <v>10</v>
      </c>
      <c r="G212" s="5" t="s">
        <v>23</v>
      </c>
      <c r="H212" s="5" t="s">
        <v>138</v>
      </c>
      <c r="I212" s="5" t="s">
        <v>13</v>
      </c>
      <c r="J212" s="6">
        <v>5</v>
      </c>
      <c r="K212" s="5" t="s">
        <v>19</v>
      </c>
      <c r="L212" t="s">
        <v>208</v>
      </c>
      <c r="M212" t="str">
        <f>VLOOKUP(E212,Price!$A$2:$C$9,3,)</f>
        <v>$14.00</v>
      </c>
      <c r="N212">
        <f t="shared" si="21"/>
        <v>160</v>
      </c>
      <c r="O212">
        <f t="shared" si="22"/>
        <v>70</v>
      </c>
      <c r="P212">
        <f t="shared" si="23"/>
        <v>90</v>
      </c>
      <c r="Q212" s="20">
        <f>Table1[[#This Row],[Profit ]]/Table1[[#This Row],[Total Revenue]]</f>
        <v>0.5625</v>
      </c>
    </row>
    <row r="213" spans="1:17" ht="15.75" thickBot="1" x14ac:dyDescent="0.3">
      <c r="A213" s="10" t="s">
        <v>54</v>
      </c>
      <c r="B213" s="16" t="str">
        <f t="shared" si="18"/>
        <v>2026</v>
      </c>
      <c r="C213" s="16" t="str">
        <f t="shared" si="19"/>
        <v>16</v>
      </c>
      <c r="D213" s="16" t="str">
        <f t="shared" si="20"/>
        <v>Mar</v>
      </c>
      <c r="E213" s="5" t="s">
        <v>97</v>
      </c>
      <c r="F213" s="5" t="s">
        <v>62</v>
      </c>
      <c r="G213" s="8" t="s">
        <v>23</v>
      </c>
      <c r="H213" s="5" t="s">
        <v>52</v>
      </c>
      <c r="I213" s="8" t="s">
        <v>41</v>
      </c>
      <c r="J213" s="9">
        <v>5</v>
      </c>
      <c r="K213" s="8" t="s">
        <v>19</v>
      </c>
      <c r="L213" t="s">
        <v>206</v>
      </c>
      <c r="M213" t="str">
        <f>VLOOKUP(E213,Price!$A$2:$C$9,3,)</f>
        <v>$28.00</v>
      </c>
      <c r="N213">
        <f t="shared" si="21"/>
        <v>270</v>
      </c>
      <c r="O213">
        <f t="shared" si="22"/>
        <v>140</v>
      </c>
      <c r="P213">
        <f t="shared" si="23"/>
        <v>130</v>
      </c>
      <c r="Q213" s="20">
        <f>Table1[[#This Row],[Profit ]]/Table1[[#This Row],[Total Revenue]]</f>
        <v>0.48148148148148145</v>
      </c>
    </row>
    <row r="214" spans="1:17" ht="15.75" thickBot="1" x14ac:dyDescent="0.3">
      <c r="A214" s="11" t="s">
        <v>130</v>
      </c>
      <c r="B214" s="17" t="str">
        <f t="shared" si="18"/>
        <v>2026</v>
      </c>
      <c r="C214" s="17" t="str">
        <f t="shared" si="19"/>
        <v>20</v>
      </c>
      <c r="D214" s="17" t="str">
        <f t="shared" si="20"/>
        <v>Jun</v>
      </c>
      <c r="E214" s="5" t="s">
        <v>34</v>
      </c>
      <c r="F214" s="5" t="s">
        <v>90</v>
      </c>
      <c r="G214" s="5" t="s">
        <v>17</v>
      </c>
      <c r="H214" s="5" t="s">
        <v>138</v>
      </c>
      <c r="I214" s="5" t="s">
        <v>103</v>
      </c>
      <c r="J214" s="6">
        <v>11</v>
      </c>
      <c r="K214" s="5" t="s">
        <v>14</v>
      </c>
      <c r="L214" t="s">
        <v>212</v>
      </c>
      <c r="M214" t="str">
        <f>VLOOKUP(E214,Price!$A$2:$C$9,3,)</f>
        <v>$72.00</v>
      </c>
      <c r="N214">
        <f t="shared" si="21"/>
        <v>1408</v>
      </c>
      <c r="O214">
        <f t="shared" si="22"/>
        <v>792</v>
      </c>
      <c r="P214">
        <f t="shared" si="23"/>
        <v>616</v>
      </c>
      <c r="Q214" s="20">
        <f>Table1[[#This Row],[Profit ]]/Table1[[#This Row],[Total Revenue]]</f>
        <v>0.4375</v>
      </c>
    </row>
    <row r="215" spans="1:17" ht="15.75" thickBot="1" x14ac:dyDescent="0.3">
      <c r="A215" s="10">
        <v>46029</v>
      </c>
      <c r="B215" s="16" t="str">
        <f t="shared" si="18"/>
        <v>6029</v>
      </c>
      <c r="C215" s="16" t="str">
        <f t="shared" si="19"/>
        <v>29</v>
      </c>
      <c r="D215" s="16" t="str">
        <f t="shared" si="20"/>
        <v>Oct</v>
      </c>
      <c r="E215" s="5" t="s">
        <v>34</v>
      </c>
      <c r="F215" s="5" t="s">
        <v>90</v>
      </c>
      <c r="G215" s="8" t="s">
        <v>17</v>
      </c>
      <c r="H215" s="5" t="s">
        <v>67</v>
      </c>
      <c r="I215" s="8" t="s">
        <v>13</v>
      </c>
      <c r="J215" s="9">
        <v>3</v>
      </c>
      <c r="K215" s="8" t="s">
        <v>14</v>
      </c>
      <c r="L215" t="s">
        <v>212</v>
      </c>
      <c r="M215" t="str">
        <f>VLOOKUP(E215,Price!$A$2:$C$9,3,)</f>
        <v>$72.00</v>
      </c>
      <c r="N215">
        <f t="shared" si="21"/>
        <v>384</v>
      </c>
      <c r="O215">
        <f t="shared" si="22"/>
        <v>216</v>
      </c>
      <c r="P215">
        <f t="shared" si="23"/>
        <v>168</v>
      </c>
      <c r="Q215" s="20">
        <f>Table1[[#This Row],[Profit ]]/Table1[[#This Row],[Total Revenue]]</f>
        <v>0.4375</v>
      </c>
    </row>
    <row r="216" spans="1:17" ht="15.75" thickBot="1" x14ac:dyDescent="0.3">
      <c r="A216" s="11">
        <v>46236</v>
      </c>
      <c r="B216" s="17" t="str">
        <f t="shared" si="18"/>
        <v>6236</v>
      </c>
      <c r="C216" s="17" t="str">
        <f t="shared" si="19"/>
        <v>36</v>
      </c>
      <c r="D216" s="17" t="str">
        <f t="shared" si="20"/>
        <v>Nov</v>
      </c>
      <c r="E216" s="5" t="s">
        <v>74</v>
      </c>
      <c r="F216" s="5" t="s">
        <v>10</v>
      </c>
      <c r="G216" s="5" t="s">
        <v>23</v>
      </c>
      <c r="H216" s="5" t="s">
        <v>52</v>
      </c>
      <c r="I216" s="5" t="s">
        <v>33</v>
      </c>
      <c r="J216" s="6">
        <v>4</v>
      </c>
      <c r="K216" s="5" t="s">
        <v>19</v>
      </c>
      <c r="L216" t="s">
        <v>204</v>
      </c>
      <c r="M216" t="str">
        <f>VLOOKUP(E216,Price!$A$2:$C$9,3,)</f>
        <v>$47.00</v>
      </c>
      <c r="N216">
        <f t="shared" si="21"/>
        <v>356</v>
      </c>
      <c r="O216">
        <f t="shared" si="22"/>
        <v>188</v>
      </c>
      <c r="P216">
        <f t="shared" si="23"/>
        <v>168</v>
      </c>
      <c r="Q216" s="20">
        <f>Table1[[#This Row],[Profit ]]/Table1[[#This Row],[Total Revenue]]</f>
        <v>0.47191011235955055</v>
      </c>
    </row>
    <row r="217" spans="1:17" ht="15.75" thickBot="1" x14ac:dyDescent="0.3">
      <c r="A217" s="10" t="s">
        <v>120</v>
      </c>
      <c r="B217" s="16" t="str">
        <f t="shared" si="18"/>
        <v>2026</v>
      </c>
      <c r="C217" s="16" t="str">
        <f t="shared" si="19"/>
        <v>14</v>
      </c>
      <c r="D217" s="16" t="str">
        <f t="shared" si="20"/>
        <v>Jun</v>
      </c>
      <c r="E217" s="5" t="s">
        <v>72</v>
      </c>
      <c r="F217" s="5" t="s">
        <v>62</v>
      </c>
      <c r="G217" s="8" t="s">
        <v>36</v>
      </c>
      <c r="H217" s="5" t="s">
        <v>12</v>
      </c>
      <c r="I217" s="8" t="s">
        <v>64</v>
      </c>
      <c r="J217" s="9">
        <v>8</v>
      </c>
      <c r="K217" s="8" t="s">
        <v>42</v>
      </c>
      <c r="L217" t="s">
        <v>214</v>
      </c>
      <c r="M217" t="str">
        <f>VLOOKUP(E217,Price!$A$2:$C$9,3,)</f>
        <v>$58.00</v>
      </c>
      <c r="N217">
        <f t="shared" si="21"/>
        <v>840</v>
      </c>
      <c r="O217">
        <f t="shared" si="22"/>
        <v>464</v>
      </c>
      <c r="P217">
        <f t="shared" si="23"/>
        <v>376</v>
      </c>
      <c r="Q217" s="20">
        <f>Table1[[#This Row],[Profit ]]/Table1[[#This Row],[Total Revenue]]</f>
        <v>0.44761904761904764</v>
      </c>
    </row>
    <row r="218" spans="1:17" ht="15.75" thickBot="1" x14ac:dyDescent="0.3">
      <c r="A218" s="11">
        <v>46178</v>
      </c>
      <c r="B218" s="17" t="str">
        <f t="shared" si="18"/>
        <v>6178</v>
      </c>
      <c r="C218" s="17" t="str">
        <f t="shared" si="19"/>
        <v>78</v>
      </c>
      <c r="D218" s="17" t="str">
        <f t="shared" si="20"/>
        <v>Dec</v>
      </c>
      <c r="E218" s="5" t="s">
        <v>34</v>
      </c>
      <c r="F218" s="5" t="s">
        <v>90</v>
      </c>
      <c r="G218" s="5" t="s">
        <v>11</v>
      </c>
      <c r="H218" s="5" t="s">
        <v>63</v>
      </c>
      <c r="I218" s="5" t="s">
        <v>13</v>
      </c>
      <c r="J218" s="6">
        <v>8</v>
      </c>
      <c r="K218" s="5" t="s">
        <v>42</v>
      </c>
      <c r="L218" t="s">
        <v>212</v>
      </c>
      <c r="M218" t="str">
        <f>VLOOKUP(E218,Price!$A$2:$C$9,3,)</f>
        <v>$72.00</v>
      </c>
      <c r="N218">
        <f t="shared" si="21"/>
        <v>1024</v>
      </c>
      <c r="O218">
        <f t="shared" si="22"/>
        <v>576</v>
      </c>
      <c r="P218">
        <f t="shared" si="23"/>
        <v>448</v>
      </c>
      <c r="Q218" s="20">
        <f>Table1[[#This Row],[Profit ]]/Table1[[#This Row],[Total Revenue]]</f>
        <v>0.4375</v>
      </c>
    </row>
    <row r="219" spans="1:17" ht="15.75" thickBot="1" x14ac:dyDescent="0.3">
      <c r="A219" s="10" t="s">
        <v>155</v>
      </c>
      <c r="B219" s="16" t="str">
        <f t="shared" si="18"/>
        <v>2026</v>
      </c>
      <c r="C219" s="16" t="str">
        <f t="shared" si="19"/>
        <v>27</v>
      </c>
      <c r="D219" s="16" t="str">
        <f t="shared" si="20"/>
        <v>Feb</v>
      </c>
      <c r="E219" s="5" t="s">
        <v>80</v>
      </c>
      <c r="F219" s="5" t="s">
        <v>10</v>
      </c>
      <c r="G219" s="8" t="s">
        <v>36</v>
      </c>
      <c r="H219" s="5" t="s">
        <v>63</v>
      </c>
      <c r="I219" s="8" t="s">
        <v>25</v>
      </c>
      <c r="J219" s="9">
        <v>8</v>
      </c>
      <c r="K219" s="8" t="s">
        <v>42</v>
      </c>
      <c r="L219" t="s">
        <v>210</v>
      </c>
      <c r="M219" t="str">
        <f>VLOOKUP(E219,Price!$A$2:$C$9,3,)</f>
        <v>$39.00</v>
      </c>
      <c r="N219">
        <f t="shared" si="21"/>
        <v>608</v>
      </c>
      <c r="O219">
        <f t="shared" si="22"/>
        <v>312</v>
      </c>
      <c r="P219">
        <f t="shared" si="23"/>
        <v>296</v>
      </c>
      <c r="Q219" s="20">
        <f>Table1[[#This Row],[Profit ]]/Table1[[#This Row],[Total Revenue]]</f>
        <v>0.48684210526315791</v>
      </c>
    </row>
    <row r="220" spans="1:17" ht="15.75" thickBot="1" x14ac:dyDescent="0.3">
      <c r="A220" s="11">
        <v>46270</v>
      </c>
      <c r="B220" s="17" t="str">
        <f t="shared" si="18"/>
        <v>6270</v>
      </c>
      <c r="C220" s="17" t="str">
        <f t="shared" si="19"/>
        <v>70</v>
      </c>
      <c r="D220" s="17" t="str">
        <f t="shared" si="20"/>
        <v>Dec</v>
      </c>
      <c r="E220" s="5" t="s">
        <v>21</v>
      </c>
      <c r="F220" s="5" t="s">
        <v>35</v>
      </c>
      <c r="G220" s="5" t="s">
        <v>11</v>
      </c>
      <c r="H220" s="5" t="s">
        <v>63</v>
      </c>
      <c r="I220" s="5" t="s">
        <v>13</v>
      </c>
      <c r="J220" s="6">
        <v>6</v>
      </c>
      <c r="K220" s="5" t="s">
        <v>19</v>
      </c>
      <c r="L220" t="s">
        <v>208</v>
      </c>
      <c r="M220" t="str">
        <f>VLOOKUP(E220,Price!$A$2:$C$9,3,)</f>
        <v>$14.00</v>
      </c>
      <c r="N220">
        <f t="shared" si="21"/>
        <v>192</v>
      </c>
      <c r="O220">
        <f t="shared" si="22"/>
        <v>84</v>
      </c>
      <c r="P220">
        <f t="shared" si="23"/>
        <v>108</v>
      </c>
      <c r="Q220" s="20">
        <f>Table1[[#This Row],[Profit ]]/Table1[[#This Row],[Total Revenue]]</f>
        <v>0.5625</v>
      </c>
    </row>
    <row r="221" spans="1:17" ht="15.75" thickBot="1" x14ac:dyDescent="0.3">
      <c r="A221" s="10">
        <v>46056</v>
      </c>
      <c r="B221" s="16" t="str">
        <f t="shared" si="18"/>
        <v>6056</v>
      </c>
      <c r="C221" s="16" t="str">
        <f t="shared" si="19"/>
        <v>56</v>
      </c>
      <c r="D221" s="16" t="str">
        <f t="shared" si="20"/>
        <v>Nov</v>
      </c>
      <c r="E221" s="5" t="s">
        <v>80</v>
      </c>
      <c r="F221" s="5" t="s">
        <v>62</v>
      </c>
      <c r="G221" s="8" t="s">
        <v>43</v>
      </c>
      <c r="H221" s="5" t="s">
        <v>138</v>
      </c>
      <c r="I221" s="8" t="s">
        <v>28</v>
      </c>
      <c r="J221" s="9">
        <v>4</v>
      </c>
      <c r="K221" s="8" t="s">
        <v>50</v>
      </c>
      <c r="L221" t="s">
        <v>210</v>
      </c>
      <c r="M221" t="str">
        <f>VLOOKUP(E221,Price!$A$2:$C$9,3,)</f>
        <v>$39.00</v>
      </c>
      <c r="N221">
        <f t="shared" si="21"/>
        <v>304</v>
      </c>
      <c r="O221">
        <f t="shared" si="22"/>
        <v>156</v>
      </c>
      <c r="P221">
        <f t="shared" si="23"/>
        <v>148</v>
      </c>
      <c r="Q221" s="20">
        <f>Table1[[#This Row],[Profit ]]/Table1[[#This Row],[Total Revenue]]</f>
        <v>0.48684210526315791</v>
      </c>
    </row>
    <row r="222" spans="1:17" ht="15.75" thickBot="1" x14ac:dyDescent="0.3">
      <c r="A222" s="11">
        <v>46334</v>
      </c>
      <c r="B222" s="17" t="str">
        <f t="shared" si="18"/>
        <v>6334</v>
      </c>
      <c r="C222" s="17" t="str">
        <f t="shared" si="19"/>
        <v>34</v>
      </c>
      <c r="D222" s="17" t="str">
        <f t="shared" si="20"/>
        <v>Nov</v>
      </c>
      <c r="E222" s="5" t="s">
        <v>74</v>
      </c>
      <c r="F222" s="5" t="s">
        <v>10</v>
      </c>
      <c r="G222" s="5" t="s">
        <v>36</v>
      </c>
      <c r="H222" s="5" t="s">
        <v>63</v>
      </c>
      <c r="I222" s="5" t="s">
        <v>47</v>
      </c>
      <c r="J222" s="6">
        <v>14</v>
      </c>
      <c r="K222" s="5" t="s">
        <v>50</v>
      </c>
      <c r="L222" t="s">
        <v>204</v>
      </c>
      <c r="M222" t="str">
        <f>VLOOKUP(E222,Price!$A$2:$C$9,3,)</f>
        <v>$47.00</v>
      </c>
      <c r="N222">
        <f t="shared" si="21"/>
        <v>1246</v>
      </c>
      <c r="O222">
        <f t="shared" si="22"/>
        <v>658</v>
      </c>
      <c r="P222">
        <f t="shared" si="23"/>
        <v>588</v>
      </c>
      <c r="Q222" s="20">
        <f>Table1[[#This Row],[Profit ]]/Table1[[#This Row],[Total Revenue]]</f>
        <v>0.47191011235955055</v>
      </c>
    </row>
    <row r="223" spans="1:17" ht="15.75" thickBot="1" x14ac:dyDescent="0.3">
      <c r="A223" s="10" t="s">
        <v>156</v>
      </c>
      <c r="B223" s="16" t="str">
        <f t="shared" si="18"/>
        <v>2026</v>
      </c>
      <c r="C223" s="16" t="str">
        <f t="shared" si="19"/>
        <v>30</v>
      </c>
      <c r="D223" s="16" t="str">
        <f t="shared" si="20"/>
        <v>Jan</v>
      </c>
      <c r="E223" s="5" t="s">
        <v>74</v>
      </c>
      <c r="F223" s="5" t="s">
        <v>10</v>
      </c>
      <c r="G223" s="8" t="s">
        <v>23</v>
      </c>
      <c r="H223" s="5" t="s">
        <v>12</v>
      </c>
      <c r="I223" s="8" t="s">
        <v>103</v>
      </c>
      <c r="J223" s="9">
        <v>7</v>
      </c>
      <c r="K223" s="8" t="s">
        <v>50</v>
      </c>
      <c r="L223" t="s">
        <v>204</v>
      </c>
      <c r="M223" t="str">
        <f>VLOOKUP(E223,Price!$A$2:$C$9,3,)</f>
        <v>$47.00</v>
      </c>
      <c r="N223">
        <f t="shared" si="21"/>
        <v>623</v>
      </c>
      <c r="O223">
        <f t="shared" si="22"/>
        <v>329</v>
      </c>
      <c r="P223">
        <f t="shared" si="23"/>
        <v>294</v>
      </c>
      <c r="Q223" s="20">
        <f>Table1[[#This Row],[Profit ]]/Table1[[#This Row],[Total Revenue]]</f>
        <v>0.47191011235955055</v>
      </c>
    </row>
    <row r="224" spans="1:17" ht="15.75" thickBot="1" x14ac:dyDescent="0.3">
      <c r="A224" s="11" t="s">
        <v>157</v>
      </c>
      <c r="B224" s="17" t="str">
        <f t="shared" si="18"/>
        <v>2026</v>
      </c>
      <c r="C224" s="17" t="str">
        <f t="shared" si="19"/>
        <v>29</v>
      </c>
      <c r="D224" s="17" t="str">
        <f t="shared" si="20"/>
        <v>Apr</v>
      </c>
      <c r="E224" s="5" t="s">
        <v>140</v>
      </c>
      <c r="F224" s="5" t="s">
        <v>10</v>
      </c>
      <c r="G224" s="5" t="s">
        <v>43</v>
      </c>
      <c r="H224" s="5" t="s">
        <v>138</v>
      </c>
      <c r="I224" s="5" t="s">
        <v>53</v>
      </c>
      <c r="J224" s="6">
        <v>8</v>
      </c>
      <c r="K224" s="5" t="s">
        <v>14</v>
      </c>
      <c r="L224" t="s">
        <v>216</v>
      </c>
      <c r="M224" t="str">
        <f>VLOOKUP(E224,Price!$A$2:$C$9,3,)</f>
        <v>$64.00</v>
      </c>
      <c r="N224">
        <f t="shared" si="21"/>
        <v>896</v>
      </c>
      <c r="O224">
        <f t="shared" si="22"/>
        <v>512</v>
      </c>
      <c r="P224">
        <f t="shared" si="23"/>
        <v>384</v>
      </c>
      <c r="Q224" s="20">
        <f>Table1[[#This Row],[Profit ]]/Table1[[#This Row],[Total Revenue]]</f>
        <v>0.42857142857142855</v>
      </c>
    </row>
    <row r="225" spans="1:17" ht="15.75" thickBot="1" x14ac:dyDescent="0.3">
      <c r="A225" s="10">
        <v>46024</v>
      </c>
      <c r="B225" s="16" t="str">
        <f t="shared" si="18"/>
        <v>6024</v>
      </c>
      <c r="C225" s="16" t="str">
        <f t="shared" si="19"/>
        <v>24</v>
      </c>
      <c r="D225" s="16" t="str">
        <f t="shared" si="20"/>
        <v>Oct</v>
      </c>
      <c r="E225" s="5" t="s">
        <v>72</v>
      </c>
      <c r="F225" s="5" t="s">
        <v>10</v>
      </c>
      <c r="G225" s="8" t="s">
        <v>17</v>
      </c>
      <c r="H225" s="5" t="s">
        <v>52</v>
      </c>
      <c r="I225" s="8" t="s">
        <v>41</v>
      </c>
      <c r="J225" s="9">
        <v>12</v>
      </c>
      <c r="K225" s="8" t="s">
        <v>19</v>
      </c>
      <c r="L225" t="s">
        <v>214</v>
      </c>
      <c r="M225" t="str">
        <f>VLOOKUP(E225,Price!$A$2:$C$9,3,)</f>
        <v>$58.00</v>
      </c>
      <c r="N225">
        <f t="shared" si="21"/>
        <v>1260</v>
      </c>
      <c r="O225">
        <f t="shared" si="22"/>
        <v>696</v>
      </c>
      <c r="P225">
        <f t="shared" si="23"/>
        <v>564</v>
      </c>
      <c r="Q225" s="20">
        <f>Table1[[#This Row],[Profit ]]/Table1[[#This Row],[Total Revenue]]</f>
        <v>0.44761904761904764</v>
      </c>
    </row>
    <row r="226" spans="1:17" ht="15.75" thickBot="1" x14ac:dyDescent="0.3">
      <c r="A226" s="11" t="s">
        <v>158</v>
      </c>
      <c r="B226" s="17" t="str">
        <f t="shared" si="18"/>
        <v>2026</v>
      </c>
      <c r="C226" s="17" t="str">
        <f t="shared" si="19"/>
        <v>15</v>
      </c>
      <c r="D226" s="17" t="str">
        <f t="shared" si="20"/>
        <v>Jan</v>
      </c>
      <c r="E226" s="5" t="s">
        <v>118</v>
      </c>
      <c r="F226" s="5" t="s">
        <v>10</v>
      </c>
      <c r="G226" s="5" t="s">
        <v>43</v>
      </c>
      <c r="H226" s="5" t="s">
        <v>67</v>
      </c>
      <c r="I226" s="5" t="s">
        <v>33</v>
      </c>
      <c r="J226" s="6">
        <v>8</v>
      </c>
      <c r="K226" s="5" t="s">
        <v>19</v>
      </c>
      <c r="L226" t="s">
        <v>218</v>
      </c>
      <c r="M226" t="str">
        <f>VLOOKUP(E226,Price!$A$2:$C$9,3,)</f>
        <v>$67.00</v>
      </c>
      <c r="N226">
        <f t="shared" si="21"/>
        <v>952</v>
      </c>
      <c r="O226">
        <f t="shared" si="22"/>
        <v>536</v>
      </c>
      <c r="P226">
        <f t="shared" si="23"/>
        <v>416</v>
      </c>
      <c r="Q226" s="20">
        <f>Table1[[#This Row],[Profit ]]/Table1[[#This Row],[Total Revenue]]</f>
        <v>0.43697478991596639</v>
      </c>
    </row>
    <row r="227" spans="1:17" ht="15.75" thickBot="1" x14ac:dyDescent="0.3">
      <c r="A227" s="10" t="s">
        <v>159</v>
      </c>
      <c r="B227" s="16" t="str">
        <f t="shared" si="18"/>
        <v>2026</v>
      </c>
      <c r="C227" s="16" t="str">
        <f t="shared" si="19"/>
        <v>15</v>
      </c>
      <c r="D227" s="16" t="str">
        <f t="shared" si="20"/>
        <v>May</v>
      </c>
      <c r="E227" s="5" t="s">
        <v>72</v>
      </c>
      <c r="F227" s="5" t="s">
        <v>90</v>
      </c>
      <c r="G227" s="8" t="s">
        <v>11</v>
      </c>
      <c r="H227" s="5" t="s">
        <v>12</v>
      </c>
      <c r="I227" s="8" t="s">
        <v>73</v>
      </c>
      <c r="J227" s="9">
        <v>11</v>
      </c>
      <c r="K227" s="8" t="s">
        <v>42</v>
      </c>
      <c r="L227" t="s">
        <v>214</v>
      </c>
      <c r="M227" t="str">
        <f>VLOOKUP(E227,Price!$A$2:$C$9,3,)</f>
        <v>$58.00</v>
      </c>
      <c r="N227">
        <f t="shared" si="21"/>
        <v>1155</v>
      </c>
      <c r="O227">
        <f t="shared" si="22"/>
        <v>638</v>
      </c>
      <c r="P227">
        <f t="shared" si="23"/>
        <v>517</v>
      </c>
      <c r="Q227" s="20">
        <f>Table1[[#This Row],[Profit ]]/Table1[[#This Row],[Total Revenue]]</f>
        <v>0.44761904761904764</v>
      </c>
    </row>
    <row r="228" spans="1:17" ht="15.75" thickBot="1" x14ac:dyDescent="0.3">
      <c r="A228" s="11">
        <v>46150</v>
      </c>
      <c r="B228" s="17" t="str">
        <f t="shared" si="18"/>
        <v>6150</v>
      </c>
      <c r="C228" s="17" t="str">
        <f t="shared" si="19"/>
        <v>50</v>
      </c>
      <c r="D228" s="17" t="str">
        <f t="shared" si="20"/>
        <v>Nov</v>
      </c>
      <c r="E228" s="5" t="s">
        <v>80</v>
      </c>
      <c r="F228" s="5" t="s">
        <v>35</v>
      </c>
      <c r="G228" s="5" t="s">
        <v>43</v>
      </c>
      <c r="H228" s="5" t="s">
        <v>63</v>
      </c>
      <c r="I228" s="5" t="s">
        <v>64</v>
      </c>
      <c r="J228" s="6">
        <v>2</v>
      </c>
      <c r="K228" s="5" t="s">
        <v>50</v>
      </c>
      <c r="L228" t="s">
        <v>210</v>
      </c>
      <c r="M228" t="str">
        <f>VLOOKUP(E228,Price!$A$2:$C$9,3,)</f>
        <v>$39.00</v>
      </c>
      <c r="N228">
        <f t="shared" si="21"/>
        <v>152</v>
      </c>
      <c r="O228">
        <f t="shared" si="22"/>
        <v>78</v>
      </c>
      <c r="P228">
        <f t="shared" si="23"/>
        <v>74</v>
      </c>
      <c r="Q228" s="20">
        <f>Table1[[#This Row],[Profit ]]/Table1[[#This Row],[Total Revenue]]</f>
        <v>0.48684210526315791</v>
      </c>
    </row>
    <row r="229" spans="1:17" ht="15.75" thickBot="1" x14ac:dyDescent="0.3">
      <c r="A229" s="10">
        <v>46360</v>
      </c>
      <c r="B229" s="16" t="str">
        <f t="shared" si="18"/>
        <v>6360</v>
      </c>
      <c r="C229" s="16" t="str">
        <f t="shared" si="19"/>
        <v>60</v>
      </c>
      <c r="D229" s="16" t="str">
        <f t="shared" si="20"/>
        <v>Nov</v>
      </c>
      <c r="E229" s="5" t="s">
        <v>118</v>
      </c>
      <c r="F229" s="5" t="s">
        <v>10</v>
      </c>
      <c r="G229" s="8" t="s">
        <v>23</v>
      </c>
      <c r="H229" s="5" t="s">
        <v>67</v>
      </c>
      <c r="I229" s="8" t="s">
        <v>103</v>
      </c>
      <c r="J229" s="9">
        <v>7</v>
      </c>
      <c r="K229" s="8" t="s">
        <v>14</v>
      </c>
      <c r="L229" t="s">
        <v>218</v>
      </c>
      <c r="M229" t="str">
        <f>VLOOKUP(E229,Price!$A$2:$C$9,3,)</f>
        <v>$67.00</v>
      </c>
      <c r="N229">
        <f t="shared" si="21"/>
        <v>833</v>
      </c>
      <c r="O229">
        <f t="shared" si="22"/>
        <v>469</v>
      </c>
      <c r="P229">
        <f t="shared" si="23"/>
        <v>364</v>
      </c>
      <c r="Q229" s="20">
        <f>Table1[[#This Row],[Profit ]]/Table1[[#This Row],[Total Revenue]]</f>
        <v>0.43697478991596639</v>
      </c>
    </row>
    <row r="230" spans="1:17" ht="15.75" thickBot="1" x14ac:dyDescent="0.3">
      <c r="A230" s="11">
        <v>46236</v>
      </c>
      <c r="B230" s="17" t="str">
        <f t="shared" si="18"/>
        <v>6236</v>
      </c>
      <c r="C230" s="17" t="str">
        <f t="shared" si="19"/>
        <v>36</v>
      </c>
      <c r="D230" s="17" t="str">
        <f t="shared" si="20"/>
        <v>Nov</v>
      </c>
      <c r="E230" s="5" t="s">
        <v>118</v>
      </c>
      <c r="F230" s="5" t="s">
        <v>10</v>
      </c>
      <c r="G230" s="5" t="s">
        <v>36</v>
      </c>
      <c r="H230" s="5" t="s">
        <v>63</v>
      </c>
      <c r="I230" s="5" t="s">
        <v>41</v>
      </c>
      <c r="J230" s="6">
        <v>1</v>
      </c>
      <c r="K230" s="5" t="s">
        <v>50</v>
      </c>
      <c r="L230" t="s">
        <v>218</v>
      </c>
      <c r="M230" t="str">
        <f>VLOOKUP(E230,Price!$A$2:$C$9,3,)</f>
        <v>$67.00</v>
      </c>
      <c r="N230">
        <f t="shared" si="21"/>
        <v>119</v>
      </c>
      <c r="O230">
        <f t="shared" si="22"/>
        <v>67</v>
      </c>
      <c r="P230">
        <f t="shared" si="23"/>
        <v>52</v>
      </c>
      <c r="Q230" s="20">
        <f>Table1[[#This Row],[Profit ]]/Table1[[#This Row],[Total Revenue]]</f>
        <v>0.43697478991596639</v>
      </c>
    </row>
    <row r="231" spans="1:17" ht="15.75" thickBot="1" x14ac:dyDescent="0.3">
      <c r="A231" s="10">
        <v>46268</v>
      </c>
      <c r="B231" s="16" t="str">
        <f t="shared" si="18"/>
        <v>6268</v>
      </c>
      <c r="C231" s="16" t="str">
        <f t="shared" si="19"/>
        <v>68</v>
      </c>
      <c r="D231" s="16" t="str">
        <f t="shared" si="20"/>
        <v>Dec</v>
      </c>
      <c r="E231" s="5" t="s">
        <v>21</v>
      </c>
      <c r="F231" s="5" t="s">
        <v>35</v>
      </c>
      <c r="G231" s="8" t="s">
        <v>36</v>
      </c>
      <c r="H231" s="5" t="s">
        <v>12</v>
      </c>
      <c r="I231" s="8" t="s">
        <v>86</v>
      </c>
      <c r="J231" s="9">
        <v>11</v>
      </c>
      <c r="K231" s="8" t="s">
        <v>42</v>
      </c>
      <c r="L231" t="s">
        <v>208</v>
      </c>
      <c r="M231" t="str">
        <f>VLOOKUP(E231,Price!$A$2:$C$9,3,)</f>
        <v>$14.00</v>
      </c>
      <c r="N231">
        <f t="shared" si="21"/>
        <v>352</v>
      </c>
      <c r="O231">
        <f t="shared" si="22"/>
        <v>154</v>
      </c>
      <c r="P231">
        <f t="shared" si="23"/>
        <v>198</v>
      </c>
      <c r="Q231" s="20">
        <f>Table1[[#This Row],[Profit ]]/Table1[[#This Row],[Total Revenue]]</f>
        <v>0.5625</v>
      </c>
    </row>
    <row r="232" spans="1:17" ht="15.75" thickBot="1" x14ac:dyDescent="0.3">
      <c r="A232" s="11">
        <v>46271</v>
      </c>
      <c r="B232" s="17" t="str">
        <f t="shared" si="18"/>
        <v>6271</v>
      </c>
      <c r="C232" s="17" t="str">
        <f t="shared" si="19"/>
        <v>71</v>
      </c>
      <c r="D232" s="17" t="str">
        <f t="shared" si="20"/>
        <v>Dec</v>
      </c>
      <c r="E232" s="5" t="s">
        <v>140</v>
      </c>
      <c r="F232" s="5" t="s">
        <v>62</v>
      </c>
      <c r="G232" s="5" t="s">
        <v>43</v>
      </c>
      <c r="H232" s="5" t="s">
        <v>12</v>
      </c>
      <c r="I232" s="5" t="s">
        <v>38</v>
      </c>
      <c r="J232" s="6">
        <v>14</v>
      </c>
      <c r="K232" s="5" t="s">
        <v>14</v>
      </c>
      <c r="L232" t="s">
        <v>216</v>
      </c>
      <c r="M232" t="str">
        <f>VLOOKUP(E232,Price!$A$2:$C$9,3,)</f>
        <v>$64.00</v>
      </c>
      <c r="N232">
        <f t="shared" si="21"/>
        <v>1568</v>
      </c>
      <c r="O232">
        <f t="shared" si="22"/>
        <v>896</v>
      </c>
      <c r="P232">
        <f t="shared" si="23"/>
        <v>672</v>
      </c>
      <c r="Q232" s="20">
        <f>Table1[[#This Row],[Profit ]]/Table1[[#This Row],[Total Revenue]]</f>
        <v>0.42857142857142855</v>
      </c>
    </row>
    <row r="233" spans="1:17" ht="15.75" thickBot="1" x14ac:dyDescent="0.3">
      <c r="A233" s="10">
        <v>46238</v>
      </c>
      <c r="B233" s="16" t="str">
        <f t="shared" si="18"/>
        <v>6238</v>
      </c>
      <c r="C233" s="16" t="str">
        <f t="shared" si="19"/>
        <v>38</v>
      </c>
      <c r="D233" s="16" t="str">
        <f t="shared" si="20"/>
        <v>Nov</v>
      </c>
      <c r="E233" s="5" t="s">
        <v>118</v>
      </c>
      <c r="F233" s="5" t="s">
        <v>10</v>
      </c>
      <c r="G233" s="8" t="s">
        <v>43</v>
      </c>
      <c r="H233" s="5" t="s">
        <v>63</v>
      </c>
      <c r="I233" s="8" t="s">
        <v>38</v>
      </c>
      <c r="J233" s="9">
        <v>4</v>
      </c>
      <c r="K233" s="8" t="s">
        <v>42</v>
      </c>
      <c r="L233" t="s">
        <v>218</v>
      </c>
      <c r="M233" t="str">
        <f>VLOOKUP(E233,Price!$A$2:$C$9,3,)</f>
        <v>$67.00</v>
      </c>
      <c r="N233">
        <f t="shared" si="21"/>
        <v>476</v>
      </c>
      <c r="O233">
        <f t="shared" si="22"/>
        <v>268</v>
      </c>
      <c r="P233">
        <f t="shared" si="23"/>
        <v>208</v>
      </c>
      <c r="Q233" s="20">
        <f>Table1[[#This Row],[Profit ]]/Table1[[#This Row],[Total Revenue]]</f>
        <v>0.43697478991596639</v>
      </c>
    </row>
    <row r="234" spans="1:17" ht="15.75" thickBot="1" x14ac:dyDescent="0.3">
      <c r="A234" s="11">
        <v>46178</v>
      </c>
      <c r="B234" s="17" t="str">
        <f t="shared" si="18"/>
        <v>6178</v>
      </c>
      <c r="C234" s="17" t="str">
        <f t="shared" si="19"/>
        <v>78</v>
      </c>
      <c r="D234" s="17" t="str">
        <f t="shared" si="20"/>
        <v>Dec</v>
      </c>
      <c r="E234" s="5" t="s">
        <v>80</v>
      </c>
      <c r="F234" s="5" t="s">
        <v>10</v>
      </c>
      <c r="G234" s="5" t="s">
        <v>36</v>
      </c>
      <c r="H234" s="5" t="s">
        <v>52</v>
      </c>
      <c r="I234" s="5" t="s">
        <v>49</v>
      </c>
      <c r="J234" s="6">
        <v>5</v>
      </c>
      <c r="K234" s="5" t="s">
        <v>19</v>
      </c>
      <c r="L234" t="s">
        <v>210</v>
      </c>
      <c r="M234" t="str">
        <f>VLOOKUP(E234,Price!$A$2:$C$9,3,)</f>
        <v>$39.00</v>
      </c>
      <c r="N234">
        <f t="shared" si="21"/>
        <v>380</v>
      </c>
      <c r="O234">
        <f t="shared" si="22"/>
        <v>195</v>
      </c>
      <c r="P234">
        <f t="shared" si="23"/>
        <v>185</v>
      </c>
      <c r="Q234" s="20">
        <f>Table1[[#This Row],[Profit ]]/Table1[[#This Row],[Total Revenue]]</f>
        <v>0.48684210526315791</v>
      </c>
    </row>
    <row r="235" spans="1:17" ht="15.75" thickBot="1" x14ac:dyDescent="0.3">
      <c r="A235" s="10" t="s">
        <v>91</v>
      </c>
      <c r="B235" s="16" t="str">
        <f t="shared" si="18"/>
        <v>2026</v>
      </c>
      <c r="C235" s="16" t="str">
        <f t="shared" si="19"/>
        <v>25</v>
      </c>
      <c r="D235" s="16" t="str">
        <f t="shared" si="20"/>
        <v>Jul</v>
      </c>
      <c r="E235" s="5" t="s">
        <v>34</v>
      </c>
      <c r="F235" s="5" t="s">
        <v>10</v>
      </c>
      <c r="G235" s="8" t="s">
        <v>43</v>
      </c>
      <c r="H235" s="5" t="s">
        <v>52</v>
      </c>
      <c r="I235" s="8" t="s">
        <v>25</v>
      </c>
      <c r="J235" s="9">
        <v>5</v>
      </c>
      <c r="K235" s="8" t="s">
        <v>50</v>
      </c>
      <c r="L235" t="s">
        <v>212</v>
      </c>
      <c r="M235" t="str">
        <f>VLOOKUP(E235,Price!$A$2:$C$9,3,)</f>
        <v>$72.00</v>
      </c>
      <c r="N235">
        <f t="shared" si="21"/>
        <v>640</v>
      </c>
      <c r="O235">
        <f t="shared" si="22"/>
        <v>360</v>
      </c>
      <c r="P235">
        <f t="shared" si="23"/>
        <v>280</v>
      </c>
      <c r="Q235" s="20">
        <f>Table1[[#This Row],[Profit ]]/Table1[[#This Row],[Total Revenue]]</f>
        <v>0.4375</v>
      </c>
    </row>
    <row r="236" spans="1:17" ht="15.75" thickBot="1" x14ac:dyDescent="0.3">
      <c r="A236" s="11">
        <v>46362</v>
      </c>
      <c r="B236" s="17" t="str">
        <f t="shared" si="18"/>
        <v>6362</v>
      </c>
      <c r="C236" s="17" t="str">
        <f t="shared" si="19"/>
        <v>62</v>
      </c>
      <c r="D236" s="17" t="str">
        <f t="shared" si="20"/>
        <v>Dec</v>
      </c>
      <c r="E236" s="5" t="s">
        <v>21</v>
      </c>
      <c r="F236" s="5" t="s">
        <v>10</v>
      </c>
      <c r="G236" s="5" t="s">
        <v>23</v>
      </c>
      <c r="H236" s="5" t="s">
        <v>63</v>
      </c>
      <c r="I236" s="5" t="s">
        <v>41</v>
      </c>
      <c r="J236" s="6">
        <v>15</v>
      </c>
      <c r="K236" s="5" t="s">
        <v>14</v>
      </c>
      <c r="L236" t="s">
        <v>208</v>
      </c>
      <c r="M236" t="str">
        <f>VLOOKUP(E236,Price!$A$2:$C$9,3,)</f>
        <v>$14.00</v>
      </c>
      <c r="N236">
        <f t="shared" si="21"/>
        <v>480</v>
      </c>
      <c r="O236">
        <f t="shared" si="22"/>
        <v>210</v>
      </c>
      <c r="P236">
        <f t="shared" si="23"/>
        <v>270</v>
      </c>
      <c r="Q236" s="20">
        <f>Table1[[#This Row],[Profit ]]/Table1[[#This Row],[Total Revenue]]</f>
        <v>0.5625</v>
      </c>
    </row>
    <row r="237" spans="1:17" ht="15.75" thickBot="1" x14ac:dyDescent="0.3">
      <c r="A237" s="10" t="s">
        <v>112</v>
      </c>
      <c r="B237" s="16" t="str">
        <f t="shared" si="18"/>
        <v>2026</v>
      </c>
      <c r="C237" s="16" t="str">
        <f t="shared" si="19"/>
        <v>21</v>
      </c>
      <c r="D237" s="16" t="str">
        <f t="shared" si="20"/>
        <v>Jun</v>
      </c>
      <c r="E237" s="5" t="s">
        <v>80</v>
      </c>
      <c r="F237" s="5" t="s">
        <v>10</v>
      </c>
      <c r="G237" s="8" t="s">
        <v>43</v>
      </c>
      <c r="H237" s="5" t="s">
        <v>52</v>
      </c>
      <c r="I237" s="8" t="s">
        <v>41</v>
      </c>
      <c r="J237" s="9">
        <v>14</v>
      </c>
      <c r="K237" s="8" t="s">
        <v>19</v>
      </c>
      <c r="L237" t="s">
        <v>210</v>
      </c>
      <c r="M237" t="str">
        <f>VLOOKUP(E237,Price!$A$2:$C$9,3,)</f>
        <v>$39.00</v>
      </c>
      <c r="N237">
        <f t="shared" si="21"/>
        <v>1064</v>
      </c>
      <c r="O237">
        <f t="shared" si="22"/>
        <v>546</v>
      </c>
      <c r="P237">
        <f t="shared" si="23"/>
        <v>518</v>
      </c>
      <c r="Q237" s="20">
        <f>Table1[[#This Row],[Profit ]]/Table1[[#This Row],[Total Revenue]]</f>
        <v>0.48684210526315791</v>
      </c>
    </row>
    <row r="238" spans="1:17" ht="15.75" thickBot="1" x14ac:dyDescent="0.3">
      <c r="A238" s="11" t="s">
        <v>147</v>
      </c>
      <c r="B238" s="17" t="str">
        <f t="shared" si="18"/>
        <v>2026</v>
      </c>
      <c r="C238" s="17" t="str">
        <f t="shared" si="19"/>
        <v>28</v>
      </c>
      <c r="D238" s="17" t="str">
        <f t="shared" si="20"/>
        <v>Apr</v>
      </c>
      <c r="E238" s="5" t="s">
        <v>97</v>
      </c>
      <c r="F238" s="5" t="s">
        <v>90</v>
      </c>
      <c r="G238" s="5" t="s">
        <v>36</v>
      </c>
      <c r="H238" s="5" t="s">
        <v>138</v>
      </c>
      <c r="I238" s="5" t="s">
        <v>13</v>
      </c>
      <c r="J238" s="6">
        <v>6</v>
      </c>
      <c r="K238" s="5" t="s">
        <v>50</v>
      </c>
      <c r="L238" t="s">
        <v>206</v>
      </c>
      <c r="M238" t="str">
        <f>VLOOKUP(E238,Price!$A$2:$C$9,3,)</f>
        <v>$28.00</v>
      </c>
      <c r="N238">
        <f t="shared" si="21"/>
        <v>324</v>
      </c>
      <c r="O238">
        <f t="shared" si="22"/>
        <v>168</v>
      </c>
      <c r="P238">
        <f t="shared" si="23"/>
        <v>156</v>
      </c>
      <c r="Q238" s="20">
        <f>Table1[[#This Row],[Profit ]]/Table1[[#This Row],[Total Revenue]]</f>
        <v>0.48148148148148145</v>
      </c>
    </row>
    <row r="239" spans="1:17" ht="15.75" thickBot="1" x14ac:dyDescent="0.3">
      <c r="A239" s="10" t="s">
        <v>127</v>
      </c>
      <c r="B239" s="16" t="str">
        <f t="shared" si="18"/>
        <v>2026</v>
      </c>
      <c r="C239" s="16" t="str">
        <f t="shared" si="19"/>
        <v>13</v>
      </c>
      <c r="D239" s="16" t="str">
        <f t="shared" si="20"/>
        <v>Jul</v>
      </c>
      <c r="E239" s="5" t="s">
        <v>21</v>
      </c>
      <c r="F239" s="5" t="s">
        <v>62</v>
      </c>
      <c r="G239" s="8" t="s">
        <v>43</v>
      </c>
      <c r="H239" s="5" t="s">
        <v>63</v>
      </c>
      <c r="I239" s="8" t="s">
        <v>73</v>
      </c>
      <c r="J239" s="9">
        <v>12</v>
      </c>
      <c r="K239" s="8" t="s">
        <v>42</v>
      </c>
      <c r="L239" t="s">
        <v>208</v>
      </c>
      <c r="M239" t="str">
        <f>VLOOKUP(E239,Price!$A$2:$C$9,3,)</f>
        <v>$14.00</v>
      </c>
      <c r="N239">
        <f t="shared" si="21"/>
        <v>384</v>
      </c>
      <c r="O239">
        <f t="shared" si="22"/>
        <v>168</v>
      </c>
      <c r="P239">
        <f t="shared" si="23"/>
        <v>216</v>
      </c>
      <c r="Q239" s="20">
        <f>Table1[[#This Row],[Profit ]]/Table1[[#This Row],[Total Revenue]]</f>
        <v>0.5625</v>
      </c>
    </row>
    <row r="240" spans="1:17" ht="15.75" thickBot="1" x14ac:dyDescent="0.3">
      <c r="A240" s="11">
        <v>46023</v>
      </c>
      <c r="B240" s="17" t="str">
        <f t="shared" si="18"/>
        <v>6023</v>
      </c>
      <c r="C240" s="17" t="str">
        <f t="shared" si="19"/>
        <v>23</v>
      </c>
      <c r="D240" s="17" t="str">
        <f t="shared" si="20"/>
        <v>Oct</v>
      </c>
      <c r="E240" s="5" t="s">
        <v>118</v>
      </c>
      <c r="F240" s="5" t="s">
        <v>62</v>
      </c>
      <c r="G240" s="5" t="s">
        <v>17</v>
      </c>
      <c r="H240" s="5" t="s">
        <v>52</v>
      </c>
      <c r="I240" s="5" t="s">
        <v>41</v>
      </c>
      <c r="J240" s="6">
        <v>9</v>
      </c>
      <c r="K240" s="5" t="s">
        <v>42</v>
      </c>
      <c r="L240" t="s">
        <v>218</v>
      </c>
      <c r="M240" t="str">
        <f>VLOOKUP(E240,Price!$A$2:$C$9,3,)</f>
        <v>$67.00</v>
      </c>
      <c r="N240">
        <f t="shared" si="21"/>
        <v>1071</v>
      </c>
      <c r="O240">
        <f t="shared" si="22"/>
        <v>603</v>
      </c>
      <c r="P240">
        <f t="shared" si="23"/>
        <v>468</v>
      </c>
      <c r="Q240" s="20">
        <f>Table1[[#This Row],[Profit ]]/Table1[[#This Row],[Total Revenue]]</f>
        <v>0.43697478991596639</v>
      </c>
    </row>
    <row r="241" spans="1:17" ht="15.75" thickBot="1" x14ac:dyDescent="0.3">
      <c r="A241" s="10" t="s">
        <v>160</v>
      </c>
      <c r="B241" s="16" t="str">
        <f t="shared" si="18"/>
        <v>2026</v>
      </c>
      <c r="C241" s="16" t="str">
        <f t="shared" si="19"/>
        <v>29</v>
      </c>
      <c r="D241" s="16" t="str">
        <f t="shared" si="20"/>
        <v>May</v>
      </c>
      <c r="E241" s="5" t="s">
        <v>80</v>
      </c>
      <c r="F241" s="5" t="s">
        <v>35</v>
      </c>
      <c r="G241" s="8" t="s">
        <v>11</v>
      </c>
      <c r="H241" s="5" t="s">
        <v>63</v>
      </c>
      <c r="I241" s="8" t="s">
        <v>53</v>
      </c>
      <c r="J241" s="9">
        <v>7</v>
      </c>
      <c r="K241" s="8" t="s">
        <v>19</v>
      </c>
      <c r="L241" t="s">
        <v>210</v>
      </c>
      <c r="M241" t="str">
        <f>VLOOKUP(E241,Price!$A$2:$C$9,3,)</f>
        <v>$39.00</v>
      </c>
      <c r="N241">
        <f t="shared" si="21"/>
        <v>532</v>
      </c>
      <c r="O241">
        <f t="shared" si="22"/>
        <v>273</v>
      </c>
      <c r="P241">
        <f t="shared" si="23"/>
        <v>259</v>
      </c>
      <c r="Q241" s="20">
        <f>Table1[[#This Row],[Profit ]]/Table1[[#This Row],[Total Revenue]]</f>
        <v>0.48684210526315791</v>
      </c>
    </row>
    <row r="242" spans="1:17" ht="15.75" thickBot="1" x14ac:dyDescent="0.3">
      <c r="A242" s="11" t="s">
        <v>161</v>
      </c>
      <c r="B242" s="17" t="str">
        <f t="shared" si="18"/>
        <v>2026</v>
      </c>
      <c r="C242" s="17" t="str">
        <f t="shared" si="19"/>
        <v>13</v>
      </c>
      <c r="D242" s="17" t="str">
        <f t="shared" si="20"/>
        <v>Feb</v>
      </c>
      <c r="E242" s="5" t="s">
        <v>140</v>
      </c>
      <c r="F242" s="5" t="s">
        <v>62</v>
      </c>
      <c r="G242" s="5" t="s">
        <v>36</v>
      </c>
      <c r="H242" s="5" t="s">
        <v>63</v>
      </c>
      <c r="I242" s="5" t="s">
        <v>64</v>
      </c>
      <c r="J242" s="6">
        <v>13</v>
      </c>
      <c r="K242" s="5" t="s">
        <v>42</v>
      </c>
      <c r="L242" t="s">
        <v>216</v>
      </c>
      <c r="M242" t="str">
        <f>VLOOKUP(E242,Price!$A$2:$C$9,3,)</f>
        <v>$64.00</v>
      </c>
      <c r="N242">
        <f t="shared" si="21"/>
        <v>1456</v>
      </c>
      <c r="O242">
        <f t="shared" si="22"/>
        <v>832</v>
      </c>
      <c r="P242">
        <f t="shared" si="23"/>
        <v>624</v>
      </c>
      <c r="Q242" s="20">
        <f>Table1[[#This Row],[Profit ]]/Table1[[#This Row],[Total Revenue]]</f>
        <v>0.42857142857142855</v>
      </c>
    </row>
    <row r="243" spans="1:17" ht="15.75" thickBot="1" x14ac:dyDescent="0.3">
      <c r="A243" s="10">
        <v>46147</v>
      </c>
      <c r="B243" s="16" t="str">
        <f t="shared" si="18"/>
        <v>6147</v>
      </c>
      <c r="C243" s="16" t="str">
        <f t="shared" si="19"/>
        <v>47</v>
      </c>
      <c r="D243" s="16" t="str">
        <f t="shared" si="20"/>
        <v>Nov</v>
      </c>
      <c r="E243" s="5" t="s">
        <v>74</v>
      </c>
      <c r="F243" s="5" t="s">
        <v>35</v>
      </c>
      <c r="G243" s="8" t="s">
        <v>11</v>
      </c>
      <c r="H243" s="5" t="s">
        <v>52</v>
      </c>
      <c r="I243" s="8" t="s">
        <v>41</v>
      </c>
      <c r="J243" s="9">
        <v>8</v>
      </c>
      <c r="K243" s="8" t="s">
        <v>14</v>
      </c>
      <c r="L243" t="s">
        <v>204</v>
      </c>
      <c r="M243" t="str">
        <f>VLOOKUP(E243,Price!$A$2:$C$9,3,)</f>
        <v>$47.00</v>
      </c>
      <c r="N243">
        <f t="shared" si="21"/>
        <v>712</v>
      </c>
      <c r="O243">
        <f t="shared" si="22"/>
        <v>376</v>
      </c>
      <c r="P243">
        <f t="shared" si="23"/>
        <v>336</v>
      </c>
      <c r="Q243" s="20">
        <f>Table1[[#This Row],[Profit ]]/Table1[[#This Row],[Total Revenue]]</f>
        <v>0.47191011235955055</v>
      </c>
    </row>
    <row r="244" spans="1:17" ht="15.75" thickBot="1" x14ac:dyDescent="0.3">
      <c r="A244" s="11" t="s">
        <v>119</v>
      </c>
      <c r="B244" s="17" t="str">
        <f t="shared" si="18"/>
        <v>2026</v>
      </c>
      <c r="C244" s="17" t="str">
        <f t="shared" si="19"/>
        <v>19</v>
      </c>
      <c r="D244" s="17" t="str">
        <f t="shared" si="20"/>
        <v>Jan</v>
      </c>
      <c r="E244" s="5" t="s">
        <v>97</v>
      </c>
      <c r="F244" s="5" t="s">
        <v>10</v>
      </c>
      <c r="G244" s="5" t="s">
        <v>17</v>
      </c>
      <c r="H244" s="5" t="s">
        <v>12</v>
      </c>
      <c r="I244" s="5" t="s">
        <v>33</v>
      </c>
      <c r="J244" s="6">
        <v>6</v>
      </c>
      <c r="K244" s="5" t="s">
        <v>42</v>
      </c>
      <c r="L244" t="s">
        <v>206</v>
      </c>
      <c r="M244" t="str">
        <f>VLOOKUP(E244,Price!$A$2:$C$9,3,)</f>
        <v>$28.00</v>
      </c>
      <c r="N244">
        <f t="shared" si="21"/>
        <v>324</v>
      </c>
      <c r="O244">
        <f t="shared" si="22"/>
        <v>168</v>
      </c>
      <c r="P244">
        <f t="shared" si="23"/>
        <v>156</v>
      </c>
      <c r="Q244" s="20">
        <f>Table1[[#This Row],[Profit ]]/Table1[[#This Row],[Total Revenue]]</f>
        <v>0.48148148148148145</v>
      </c>
    </row>
    <row r="245" spans="1:17" ht="15.75" thickBot="1" x14ac:dyDescent="0.3">
      <c r="A245" s="10" t="s">
        <v>162</v>
      </c>
      <c r="B245" s="16" t="str">
        <f t="shared" si="18"/>
        <v>2026</v>
      </c>
      <c r="C245" s="16" t="str">
        <f t="shared" si="19"/>
        <v>21</v>
      </c>
      <c r="D245" s="16" t="str">
        <f t="shared" si="20"/>
        <v>Jul</v>
      </c>
      <c r="E245" s="5" t="s">
        <v>72</v>
      </c>
      <c r="F245" s="5" t="s">
        <v>10</v>
      </c>
      <c r="G245" s="8" t="s">
        <v>23</v>
      </c>
      <c r="H245" s="5" t="s">
        <v>12</v>
      </c>
      <c r="I245" s="8" t="s">
        <v>41</v>
      </c>
      <c r="J245" s="9">
        <v>13</v>
      </c>
      <c r="K245" s="8" t="s">
        <v>14</v>
      </c>
      <c r="L245" t="s">
        <v>214</v>
      </c>
      <c r="M245" t="str">
        <f>VLOOKUP(E245,Price!$A$2:$C$9,3,)</f>
        <v>$58.00</v>
      </c>
      <c r="N245">
        <f t="shared" si="21"/>
        <v>1365</v>
      </c>
      <c r="O245">
        <f t="shared" si="22"/>
        <v>754</v>
      </c>
      <c r="P245">
        <f t="shared" si="23"/>
        <v>611</v>
      </c>
      <c r="Q245" s="20">
        <f>Table1[[#This Row],[Profit ]]/Table1[[#This Row],[Total Revenue]]</f>
        <v>0.44761904761904764</v>
      </c>
    </row>
    <row r="246" spans="1:17" ht="15.75" thickBot="1" x14ac:dyDescent="0.3">
      <c r="A246" s="11" t="s">
        <v>123</v>
      </c>
      <c r="B246" s="17" t="str">
        <f t="shared" si="18"/>
        <v>2026</v>
      </c>
      <c r="C246" s="17" t="str">
        <f t="shared" si="19"/>
        <v>30</v>
      </c>
      <c r="D246" s="17" t="str">
        <f t="shared" si="20"/>
        <v>Jun</v>
      </c>
      <c r="E246" s="5" t="s">
        <v>80</v>
      </c>
      <c r="F246" s="5" t="s">
        <v>10</v>
      </c>
      <c r="G246" s="5" t="s">
        <v>23</v>
      </c>
      <c r="H246" s="5" t="s">
        <v>63</v>
      </c>
      <c r="I246" s="5" t="s">
        <v>41</v>
      </c>
      <c r="J246" s="6">
        <v>7</v>
      </c>
      <c r="K246" s="5" t="s">
        <v>14</v>
      </c>
      <c r="L246" t="s">
        <v>210</v>
      </c>
      <c r="M246" t="str">
        <f>VLOOKUP(E246,Price!$A$2:$C$9,3,)</f>
        <v>$39.00</v>
      </c>
      <c r="N246">
        <f t="shared" si="21"/>
        <v>532</v>
      </c>
      <c r="O246">
        <f t="shared" si="22"/>
        <v>273</v>
      </c>
      <c r="P246">
        <f t="shared" si="23"/>
        <v>259</v>
      </c>
      <c r="Q246" s="20">
        <f>Table1[[#This Row],[Profit ]]/Table1[[#This Row],[Total Revenue]]</f>
        <v>0.48684210526315791</v>
      </c>
    </row>
    <row r="247" spans="1:17" ht="15.75" thickBot="1" x14ac:dyDescent="0.3">
      <c r="A247" s="10">
        <v>46303</v>
      </c>
      <c r="B247" s="16" t="str">
        <f t="shared" si="18"/>
        <v>6303</v>
      </c>
      <c r="C247" s="16" t="str">
        <f t="shared" si="19"/>
        <v>03</v>
      </c>
      <c r="D247" s="16" t="str">
        <f t="shared" si="20"/>
        <v>Oct</v>
      </c>
      <c r="E247" s="5" t="s">
        <v>72</v>
      </c>
      <c r="F247" s="5" t="s">
        <v>90</v>
      </c>
      <c r="G247" s="8" t="s">
        <v>23</v>
      </c>
      <c r="H247" s="5" t="s">
        <v>12</v>
      </c>
      <c r="I247" s="8" t="s">
        <v>38</v>
      </c>
      <c r="J247" s="9">
        <v>9</v>
      </c>
      <c r="K247" s="8" t="s">
        <v>14</v>
      </c>
      <c r="L247" t="s">
        <v>214</v>
      </c>
      <c r="M247" t="str">
        <f>VLOOKUP(E247,Price!$A$2:$C$9,3,)</f>
        <v>$58.00</v>
      </c>
      <c r="N247">
        <f t="shared" si="21"/>
        <v>945</v>
      </c>
      <c r="O247">
        <f t="shared" si="22"/>
        <v>522</v>
      </c>
      <c r="P247">
        <f t="shared" si="23"/>
        <v>423</v>
      </c>
      <c r="Q247" s="20">
        <f>Table1[[#This Row],[Profit ]]/Table1[[#This Row],[Total Revenue]]</f>
        <v>0.44761904761904764</v>
      </c>
    </row>
    <row r="248" spans="1:17" ht="15.75" thickBot="1" x14ac:dyDescent="0.3">
      <c r="A248" s="11">
        <v>46299</v>
      </c>
      <c r="B248" s="17" t="str">
        <f t="shared" si="18"/>
        <v>6299</v>
      </c>
      <c r="C248" s="17" t="str">
        <f t="shared" si="19"/>
        <v>99</v>
      </c>
      <c r="D248" s="17" t="str">
        <f t="shared" si="20"/>
        <v>Jan</v>
      </c>
      <c r="E248" s="5" t="s">
        <v>21</v>
      </c>
      <c r="F248" s="5" t="s">
        <v>35</v>
      </c>
      <c r="G248" s="5" t="s">
        <v>43</v>
      </c>
      <c r="H248" s="5" t="s">
        <v>67</v>
      </c>
      <c r="I248" s="5" t="s">
        <v>28</v>
      </c>
      <c r="J248" s="6">
        <v>3</v>
      </c>
      <c r="K248" s="5" t="s">
        <v>14</v>
      </c>
      <c r="L248" t="s">
        <v>208</v>
      </c>
      <c r="M248" t="str">
        <f>VLOOKUP(E248,Price!$A$2:$C$9,3,)</f>
        <v>$14.00</v>
      </c>
      <c r="N248">
        <f t="shared" si="21"/>
        <v>96</v>
      </c>
      <c r="O248">
        <f t="shared" si="22"/>
        <v>42</v>
      </c>
      <c r="P248">
        <f t="shared" si="23"/>
        <v>54</v>
      </c>
      <c r="Q248" s="20">
        <f>Table1[[#This Row],[Profit ]]/Table1[[#This Row],[Total Revenue]]</f>
        <v>0.5625</v>
      </c>
    </row>
    <row r="249" spans="1:17" ht="15.75" thickBot="1" x14ac:dyDescent="0.3">
      <c r="A249" s="10">
        <v>46209</v>
      </c>
      <c r="B249" s="16" t="str">
        <f t="shared" si="18"/>
        <v>6209</v>
      </c>
      <c r="C249" s="16" t="str">
        <f t="shared" si="19"/>
        <v>09</v>
      </c>
      <c r="D249" s="16" t="str">
        <f t="shared" si="20"/>
        <v>Oct</v>
      </c>
      <c r="E249" s="5" t="s">
        <v>74</v>
      </c>
      <c r="F249" s="5" t="s">
        <v>90</v>
      </c>
      <c r="G249" s="8" t="s">
        <v>23</v>
      </c>
      <c r="H249" s="5" t="s">
        <v>138</v>
      </c>
      <c r="I249" s="8" t="s">
        <v>33</v>
      </c>
      <c r="J249" s="9">
        <v>11</v>
      </c>
      <c r="K249" s="8" t="s">
        <v>50</v>
      </c>
      <c r="L249" t="s">
        <v>204</v>
      </c>
      <c r="M249" t="str">
        <f>VLOOKUP(E249,Price!$A$2:$C$9,3,)</f>
        <v>$47.00</v>
      </c>
      <c r="N249">
        <f t="shared" si="21"/>
        <v>979</v>
      </c>
      <c r="O249">
        <f t="shared" si="22"/>
        <v>517</v>
      </c>
      <c r="P249">
        <f t="shared" si="23"/>
        <v>462</v>
      </c>
      <c r="Q249" s="20">
        <f>Table1[[#This Row],[Profit ]]/Table1[[#This Row],[Total Revenue]]</f>
        <v>0.47191011235955055</v>
      </c>
    </row>
    <row r="250" spans="1:17" ht="15.75" thickBot="1" x14ac:dyDescent="0.3">
      <c r="A250" s="11" t="s">
        <v>102</v>
      </c>
      <c r="B250" s="17" t="str">
        <f t="shared" si="18"/>
        <v>2026</v>
      </c>
      <c r="C250" s="17" t="str">
        <f t="shared" si="19"/>
        <v>27</v>
      </c>
      <c r="D250" s="17" t="str">
        <f t="shared" si="20"/>
        <v>Jun</v>
      </c>
      <c r="E250" s="5" t="s">
        <v>34</v>
      </c>
      <c r="F250" s="5" t="s">
        <v>62</v>
      </c>
      <c r="G250" s="5" t="s">
        <v>23</v>
      </c>
      <c r="H250" s="5" t="s">
        <v>52</v>
      </c>
      <c r="I250" s="5" t="s">
        <v>53</v>
      </c>
      <c r="J250" s="6">
        <v>15</v>
      </c>
      <c r="K250" s="5" t="s">
        <v>42</v>
      </c>
      <c r="L250" t="s">
        <v>212</v>
      </c>
      <c r="M250" t="str">
        <f>VLOOKUP(E250,Price!$A$2:$C$9,3,)</f>
        <v>$72.00</v>
      </c>
      <c r="N250">
        <f t="shared" si="21"/>
        <v>1920</v>
      </c>
      <c r="O250">
        <f t="shared" si="22"/>
        <v>1080</v>
      </c>
      <c r="P250">
        <f t="shared" si="23"/>
        <v>840</v>
      </c>
      <c r="Q250" s="20">
        <f>Table1[[#This Row],[Profit ]]/Table1[[#This Row],[Total Revenue]]</f>
        <v>0.4375</v>
      </c>
    </row>
    <row r="251" spans="1:17" ht="15.75" thickBot="1" x14ac:dyDescent="0.3">
      <c r="A251" s="10" t="s">
        <v>163</v>
      </c>
      <c r="B251" s="16" t="str">
        <f t="shared" si="18"/>
        <v>2026</v>
      </c>
      <c r="C251" s="16" t="str">
        <f t="shared" si="19"/>
        <v>25</v>
      </c>
      <c r="D251" s="16" t="str">
        <f t="shared" si="20"/>
        <v>May</v>
      </c>
      <c r="E251" s="5" t="s">
        <v>74</v>
      </c>
      <c r="F251" s="5" t="s">
        <v>10</v>
      </c>
      <c r="G251" s="8" t="s">
        <v>23</v>
      </c>
      <c r="H251" s="5" t="s">
        <v>63</v>
      </c>
      <c r="I251" s="8" t="s">
        <v>33</v>
      </c>
      <c r="J251" s="9">
        <v>9</v>
      </c>
      <c r="K251" s="8" t="s">
        <v>19</v>
      </c>
      <c r="L251" t="s">
        <v>204</v>
      </c>
      <c r="M251" t="str">
        <f>VLOOKUP(E251,Price!$A$2:$C$9,3,)</f>
        <v>$47.00</v>
      </c>
      <c r="N251">
        <f t="shared" si="21"/>
        <v>801</v>
      </c>
      <c r="O251">
        <f t="shared" si="22"/>
        <v>423</v>
      </c>
      <c r="P251">
        <f t="shared" si="23"/>
        <v>378</v>
      </c>
      <c r="Q251" s="20">
        <f>Table1[[#This Row],[Profit ]]/Table1[[#This Row],[Total Revenue]]</f>
        <v>0.47191011235955055</v>
      </c>
    </row>
    <row r="252" spans="1:17" ht="15.75" thickBot="1" x14ac:dyDescent="0.3">
      <c r="A252" s="11">
        <v>46061</v>
      </c>
      <c r="B252" s="17" t="str">
        <f t="shared" si="18"/>
        <v>6061</v>
      </c>
      <c r="C252" s="17" t="str">
        <f t="shared" si="19"/>
        <v>61</v>
      </c>
      <c r="D252" s="17" t="str">
        <f t="shared" si="20"/>
        <v>Nov</v>
      </c>
      <c r="E252" s="5" t="s">
        <v>74</v>
      </c>
      <c r="F252" s="5" t="s">
        <v>10</v>
      </c>
      <c r="G252" s="5" t="s">
        <v>11</v>
      </c>
      <c r="H252" s="5" t="s">
        <v>67</v>
      </c>
      <c r="I252" s="5" t="s">
        <v>41</v>
      </c>
      <c r="J252" s="6">
        <v>1</v>
      </c>
      <c r="K252" s="5" t="s">
        <v>50</v>
      </c>
      <c r="L252" t="s">
        <v>204</v>
      </c>
      <c r="M252" t="str">
        <f>VLOOKUP(E252,Price!$A$2:$C$9,3,)</f>
        <v>$47.00</v>
      </c>
      <c r="N252">
        <f t="shared" si="21"/>
        <v>89</v>
      </c>
      <c r="O252">
        <f t="shared" si="22"/>
        <v>47</v>
      </c>
      <c r="P252">
        <f t="shared" si="23"/>
        <v>42</v>
      </c>
      <c r="Q252" s="20">
        <f>Table1[[#This Row],[Profit ]]/Table1[[#This Row],[Total Revenue]]</f>
        <v>0.47191011235955055</v>
      </c>
    </row>
    <row r="253" spans="1:17" ht="15.75" thickBot="1" x14ac:dyDescent="0.3">
      <c r="A253" s="10">
        <v>46300</v>
      </c>
      <c r="B253" s="16" t="str">
        <f t="shared" si="18"/>
        <v>6300</v>
      </c>
      <c r="C253" s="16" t="str">
        <f t="shared" si="19"/>
        <v>00</v>
      </c>
      <c r="D253" s="16" t="str">
        <f t="shared" si="20"/>
        <v>Sep</v>
      </c>
      <c r="E253" s="5" t="s">
        <v>34</v>
      </c>
      <c r="F253" s="5" t="s">
        <v>10</v>
      </c>
      <c r="G253" s="8" t="s">
        <v>36</v>
      </c>
      <c r="H253" s="5" t="s">
        <v>12</v>
      </c>
      <c r="I253" s="8" t="s">
        <v>53</v>
      </c>
      <c r="J253" s="9">
        <v>1</v>
      </c>
      <c r="K253" s="8" t="s">
        <v>14</v>
      </c>
      <c r="L253" t="s">
        <v>212</v>
      </c>
      <c r="M253" t="str">
        <f>VLOOKUP(E253,Price!$A$2:$C$9,3,)</f>
        <v>$72.00</v>
      </c>
      <c r="N253">
        <f t="shared" si="21"/>
        <v>128</v>
      </c>
      <c r="O253">
        <f t="shared" si="22"/>
        <v>72</v>
      </c>
      <c r="P253">
        <f t="shared" si="23"/>
        <v>56</v>
      </c>
      <c r="Q253" s="20">
        <f>Table1[[#This Row],[Profit ]]/Table1[[#This Row],[Total Revenue]]</f>
        <v>0.4375</v>
      </c>
    </row>
    <row r="254" spans="1:17" ht="15.75" thickBot="1" x14ac:dyDescent="0.3">
      <c r="A254" s="11" t="s">
        <v>164</v>
      </c>
      <c r="B254" s="17" t="str">
        <f t="shared" si="18"/>
        <v>2026</v>
      </c>
      <c r="C254" s="17" t="str">
        <f t="shared" si="19"/>
        <v>18</v>
      </c>
      <c r="D254" s="17" t="str">
        <f t="shared" si="20"/>
        <v>Feb</v>
      </c>
      <c r="E254" s="5" t="s">
        <v>72</v>
      </c>
      <c r="F254" s="5" t="s">
        <v>35</v>
      </c>
      <c r="G254" s="5" t="s">
        <v>43</v>
      </c>
      <c r="H254" s="5" t="s">
        <v>67</v>
      </c>
      <c r="I254" s="5" t="s">
        <v>64</v>
      </c>
      <c r="J254" s="6">
        <v>7</v>
      </c>
      <c r="K254" s="5" t="s">
        <v>42</v>
      </c>
      <c r="L254" t="s">
        <v>214</v>
      </c>
      <c r="M254" t="str">
        <f>VLOOKUP(E254,Price!$A$2:$C$9,3,)</f>
        <v>$58.00</v>
      </c>
      <c r="N254">
        <f t="shared" si="21"/>
        <v>735</v>
      </c>
      <c r="O254">
        <f t="shared" si="22"/>
        <v>406</v>
      </c>
      <c r="P254">
        <f t="shared" si="23"/>
        <v>329</v>
      </c>
      <c r="Q254" s="20">
        <f>Table1[[#This Row],[Profit ]]/Table1[[#This Row],[Total Revenue]]</f>
        <v>0.44761904761904764</v>
      </c>
    </row>
    <row r="255" spans="1:17" ht="15.75" thickBot="1" x14ac:dyDescent="0.3">
      <c r="A255" s="10" t="s">
        <v>165</v>
      </c>
      <c r="B255" s="16" t="str">
        <f t="shared" si="18"/>
        <v>2026</v>
      </c>
      <c r="C255" s="16" t="str">
        <f t="shared" si="19"/>
        <v>14</v>
      </c>
      <c r="D255" s="16" t="str">
        <f t="shared" si="20"/>
        <v>Apr</v>
      </c>
      <c r="E255" s="5" t="s">
        <v>74</v>
      </c>
      <c r="F255" s="5" t="s">
        <v>10</v>
      </c>
      <c r="G255" s="8" t="s">
        <v>36</v>
      </c>
      <c r="H255" s="5" t="s">
        <v>52</v>
      </c>
      <c r="I255" s="8" t="s">
        <v>13</v>
      </c>
      <c r="J255" s="9">
        <v>13</v>
      </c>
      <c r="K255" s="8" t="s">
        <v>19</v>
      </c>
      <c r="L255" t="s">
        <v>204</v>
      </c>
      <c r="M255" t="str">
        <f>VLOOKUP(E255,Price!$A$2:$C$9,3,)</f>
        <v>$47.00</v>
      </c>
      <c r="N255">
        <f t="shared" si="21"/>
        <v>1157</v>
      </c>
      <c r="O255">
        <f t="shared" si="22"/>
        <v>611</v>
      </c>
      <c r="P255">
        <f t="shared" si="23"/>
        <v>546</v>
      </c>
      <c r="Q255" s="20">
        <f>Table1[[#This Row],[Profit ]]/Table1[[#This Row],[Total Revenue]]</f>
        <v>0.47191011235955055</v>
      </c>
    </row>
    <row r="256" spans="1:17" ht="15.75" thickBot="1" x14ac:dyDescent="0.3">
      <c r="A256" s="11" t="s">
        <v>105</v>
      </c>
      <c r="B256" s="17" t="str">
        <f t="shared" si="18"/>
        <v>2026</v>
      </c>
      <c r="C256" s="17" t="str">
        <f t="shared" si="19"/>
        <v>16</v>
      </c>
      <c r="D256" s="17" t="str">
        <f t="shared" si="20"/>
        <v>Feb</v>
      </c>
      <c r="E256" s="5" t="s">
        <v>72</v>
      </c>
      <c r="F256" s="5" t="s">
        <v>10</v>
      </c>
      <c r="G256" s="5" t="s">
        <v>36</v>
      </c>
      <c r="H256" s="5" t="s">
        <v>52</v>
      </c>
      <c r="I256" s="5" t="s">
        <v>38</v>
      </c>
      <c r="J256" s="6">
        <v>15</v>
      </c>
      <c r="K256" s="5" t="s">
        <v>19</v>
      </c>
      <c r="L256" t="s">
        <v>214</v>
      </c>
      <c r="M256" t="str">
        <f>VLOOKUP(E256,Price!$A$2:$C$9,3,)</f>
        <v>$58.00</v>
      </c>
      <c r="N256">
        <f t="shared" si="21"/>
        <v>1575</v>
      </c>
      <c r="O256">
        <f t="shared" si="22"/>
        <v>870</v>
      </c>
      <c r="P256">
        <f t="shared" si="23"/>
        <v>705</v>
      </c>
      <c r="Q256" s="20">
        <f>Table1[[#This Row],[Profit ]]/Table1[[#This Row],[Total Revenue]]</f>
        <v>0.44761904761904764</v>
      </c>
    </row>
    <row r="257" spans="1:17" ht="15.75" thickBot="1" x14ac:dyDescent="0.3">
      <c r="A257" s="10">
        <v>46298</v>
      </c>
      <c r="B257" s="16" t="str">
        <f t="shared" si="18"/>
        <v>6298</v>
      </c>
      <c r="C257" s="16" t="str">
        <f t="shared" si="19"/>
        <v>98</v>
      </c>
      <c r="D257" s="16" t="str">
        <f t="shared" si="20"/>
        <v>Jan</v>
      </c>
      <c r="E257" s="5" t="s">
        <v>72</v>
      </c>
      <c r="F257" s="5" t="s">
        <v>10</v>
      </c>
      <c r="G257" s="8" t="s">
        <v>43</v>
      </c>
      <c r="H257" s="5" t="s">
        <v>63</v>
      </c>
      <c r="I257" s="8" t="s">
        <v>28</v>
      </c>
      <c r="J257" s="9">
        <v>9</v>
      </c>
      <c r="K257" s="8" t="s">
        <v>50</v>
      </c>
      <c r="L257" t="s">
        <v>214</v>
      </c>
      <c r="M257" t="str">
        <f>VLOOKUP(E257,Price!$A$2:$C$9,3,)</f>
        <v>$58.00</v>
      </c>
      <c r="N257">
        <f t="shared" si="21"/>
        <v>945</v>
      </c>
      <c r="O257">
        <f t="shared" si="22"/>
        <v>522</v>
      </c>
      <c r="P257">
        <f t="shared" si="23"/>
        <v>423</v>
      </c>
      <c r="Q257" s="20">
        <f>Table1[[#This Row],[Profit ]]/Table1[[#This Row],[Total Revenue]]</f>
        <v>0.44761904761904764</v>
      </c>
    </row>
    <row r="258" spans="1:17" ht="15.75" thickBot="1" x14ac:dyDescent="0.3">
      <c r="A258" s="11">
        <v>46205</v>
      </c>
      <c r="B258" s="17" t="str">
        <f t="shared" ref="B258:B321" si="24">RIGHT(TRIM(A258), 4)</f>
        <v>6205</v>
      </c>
      <c r="C258" s="17" t="str">
        <f t="shared" ref="C258:C321" si="25">MID(TRIM(A258), 4, 2)</f>
        <v>05</v>
      </c>
      <c r="D258" s="17" t="str">
        <f t="shared" ref="D258:D321" si="26">TEXT(DATE(RIGHT(TRIM(A258), 4), LEFT(TRIM(A258), 2), MID(TRIM(A258), 4, 2)), "mmm")</f>
        <v>Oct</v>
      </c>
      <c r="E258" s="5" t="s">
        <v>74</v>
      </c>
      <c r="F258" s="5" t="s">
        <v>35</v>
      </c>
      <c r="G258" s="5" t="s">
        <v>36</v>
      </c>
      <c r="H258" s="5" t="s">
        <v>52</v>
      </c>
      <c r="I258" s="5" t="s">
        <v>47</v>
      </c>
      <c r="J258" s="6">
        <v>15</v>
      </c>
      <c r="K258" s="5" t="s">
        <v>42</v>
      </c>
      <c r="L258" t="s">
        <v>204</v>
      </c>
      <c r="M258" t="str">
        <f>VLOOKUP(E258,Price!$A$2:$C$9,3,)</f>
        <v>$47.00</v>
      </c>
      <c r="N258">
        <f t="shared" si="21"/>
        <v>1335</v>
      </c>
      <c r="O258">
        <f t="shared" si="22"/>
        <v>705</v>
      </c>
      <c r="P258">
        <f t="shared" si="23"/>
        <v>630</v>
      </c>
      <c r="Q258" s="20">
        <f>Table1[[#This Row],[Profit ]]/Table1[[#This Row],[Total Revenue]]</f>
        <v>0.47191011235955055</v>
      </c>
    </row>
    <row r="259" spans="1:17" ht="15.75" thickBot="1" x14ac:dyDescent="0.3">
      <c r="A259" s="10" t="s">
        <v>166</v>
      </c>
      <c r="B259" s="16" t="str">
        <f t="shared" si="24"/>
        <v>2026</v>
      </c>
      <c r="C259" s="16" t="str">
        <f t="shared" si="25"/>
        <v>31</v>
      </c>
      <c r="D259" s="16" t="str">
        <f t="shared" si="26"/>
        <v>Jan</v>
      </c>
      <c r="E259" s="5" t="s">
        <v>21</v>
      </c>
      <c r="F259" s="5" t="s">
        <v>10</v>
      </c>
      <c r="G259" s="8" t="s">
        <v>23</v>
      </c>
      <c r="H259" s="5" t="s">
        <v>63</v>
      </c>
      <c r="I259" s="8" t="s">
        <v>86</v>
      </c>
      <c r="J259" s="9">
        <v>15</v>
      </c>
      <c r="K259" s="8" t="s">
        <v>14</v>
      </c>
      <c r="L259" t="s">
        <v>208</v>
      </c>
      <c r="M259" t="str">
        <f>VLOOKUP(E259,Price!$A$2:$C$9,3,)</f>
        <v>$14.00</v>
      </c>
      <c r="N259">
        <f t="shared" ref="N259:N322" si="27">J259 * VALUE(SUBSTITUTE(L259,"$",""))</f>
        <v>480</v>
      </c>
      <c r="O259">
        <f t="shared" ref="O259:O322" si="28">J259*VALUE(SUBSTITUTE(M259,"$",""))</f>
        <v>210</v>
      </c>
      <c r="P259">
        <f t="shared" ref="P259:P322" si="29">N259-O259</f>
        <v>270</v>
      </c>
      <c r="Q259" s="20">
        <f>Table1[[#This Row],[Profit ]]/Table1[[#This Row],[Total Revenue]]</f>
        <v>0.5625</v>
      </c>
    </row>
    <row r="260" spans="1:17" ht="15.75" thickBot="1" x14ac:dyDescent="0.3">
      <c r="A260" s="11" t="s">
        <v>167</v>
      </c>
      <c r="B260" s="17" t="str">
        <f t="shared" si="24"/>
        <v>2026</v>
      </c>
      <c r="C260" s="17" t="str">
        <f t="shared" si="25"/>
        <v>17</v>
      </c>
      <c r="D260" s="17" t="str">
        <f t="shared" si="26"/>
        <v>Mar</v>
      </c>
      <c r="E260" s="5" t="s">
        <v>118</v>
      </c>
      <c r="F260" s="5" t="s">
        <v>10</v>
      </c>
      <c r="G260" s="5" t="s">
        <v>36</v>
      </c>
      <c r="H260" s="5" t="s">
        <v>63</v>
      </c>
      <c r="I260" s="5" t="s">
        <v>53</v>
      </c>
      <c r="J260" s="6">
        <v>13</v>
      </c>
      <c r="K260" s="5" t="s">
        <v>50</v>
      </c>
      <c r="L260" t="s">
        <v>218</v>
      </c>
      <c r="M260" t="str">
        <f>VLOOKUP(E260,Price!$A$2:$C$9,3,)</f>
        <v>$67.00</v>
      </c>
      <c r="N260">
        <f t="shared" si="27"/>
        <v>1547</v>
      </c>
      <c r="O260">
        <f t="shared" si="28"/>
        <v>871</v>
      </c>
      <c r="P260">
        <f t="shared" si="29"/>
        <v>676</v>
      </c>
      <c r="Q260" s="20">
        <f>Table1[[#This Row],[Profit ]]/Table1[[#This Row],[Total Revenue]]</f>
        <v>0.43697478991596639</v>
      </c>
    </row>
    <row r="261" spans="1:17" ht="15.75" thickBot="1" x14ac:dyDescent="0.3">
      <c r="A261" s="10" t="s">
        <v>116</v>
      </c>
      <c r="B261" s="16" t="str">
        <f t="shared" si="24"/>
        <v>2026</v>
      </c>
      <c r="C261" s="16" t="str">
        <f t="shared" si="25"/>
        <v>24</v>
      </c>
      <c r="D261" s="16" t="str">
        <f t="shared" si="26"/>
        <v>Feb</v>
      </c>
      <c r="E261" s="5" t="s">
        <v>21</v>
      </c>
      <c r="F261" s="5" t="s">
        <v>90</v>
      </c>
      <c r="G261" s="8" t="s">
        <v>11</v>
      </c>
      <c r="H261" s="5" t="s">
        <v>52</v>
      </c>
      <c r="I261" s="8" t="s">
        <v>25</v>
      </c>
      <c r="J261" s="9">
        <v>6</v>
      </c>
      <c r="K261" s="8" t="s">
        <v>14</v>
      </c>
      <c r="L261" t="s">
        <v>208</v>
      </c>
      <c r="M261" t="str">
        <f>VLOOKUP(E261,Price!$A$2:$C$9,3,)</f>
        <v>$14.00</v>
      </c>
      <c r="N261">
        <f t="shared" si="27"/>
        <v>192</v>
      </c>
      <c r="O261">
        <f t="shared" si="28"/>
        <v>84</v>
      </c>
      <c r="P261">
        <f t="shared" si="29"/>
        <v>108</v>
      </c>
      <c r="Q261" s="20">
        <f>Table1[[#This Row],[Profit ]]/Table1[[#This Row],[Total Revenue]]</f>
        <v>0.5625</v>
      </c>
    </row>
    <row r="262" spans="1:17" ht="15.75" thickBot="1" x14ac:dyDescent="0.3">
      <c r="A262" s="11" t="s">
        <v>119</v>
      </c>
      <c r="B262" s="17" t="str">
        <f t="shared" si="24"/>
        <v>2026</v>
      </c>
      <c r="C262" s="17" t="str">
        <f t="shared" si="25"/>
        <v>19</v>
      </c>
      <c r="D262" s="17" t="str">
        <f t="shared" si="26"/>
        <v>Jan</v>
      </c>
      <c r="E262" s="5" t="s">
        <v>74</v>
      </c>
      <c r="F262" s="5" t="s">
        <v>90</v>
      </c>
      <c r="G262" s="5" t="s">
        <v>43</v>
      </c>
      <c r="H262" s="5" t="s">
        <v>138</v>
      </c>
      <c r="I262" s="5" t="s">
        <v>41</v>
      </c>
      <c r="J262" s="6">
        <v>6</v>
      </c>
      <c r="K262" s="5" t="s">
        <v>50</v>
      </c>
      <c r="L262" t="s">
        <v>204</v>
      </c>
      <c r="M262" t="str">
        <f>VLOOKUP(E262,Price!$A$2:$C$9,3,)</f>
        <v>$47.00</v>
      </c>
      <c r="N262">
        <f t="shared" si="27"/>
        <v>534</v>
      </c>
      <c r="O262">
        <f t="shared" si="28"/>
        <v>282</v>
      </c>
      <c r="P262">
        <f t="shared" si="29"/>
        <v>252</v>
      </c>
      <c r="Q262" s="20">
        <f>Table1[[#This Row],[Profit ]]/Table1[[#This Row],[Total Revenue]]</f>
        <v>0.47191011235955055</v>
      </c>
    </row>
    <row r="263" spans="1:17" ht="15.75" thickBot="1" x14ac:dyDescent="0.3">
      <c r="A263" s="10" t="s">
        <v>168</v>
      </c>
      <c r="B263" s="16" t="str">
        <f t="shared" si="24"/>
        <v>2026</v>
      </c>
      <c r="C263" s="16" t="str">
        <f t="shared" si="25"/>
        <v>16</v>
      </c>
      <c r="D263" s="16" t="str">
        <f t="shared" si="26"/>
        <v>Jun</v>
      </c>
      <c r="E263" s="5" t="s">
        <v>80</v>
      </c>
      <c r="F263" s="5" t="s">
        <v>10</v>
      </c>
      <c r="G263" s="8" t="s">
        <v>11</v>
      </c>
      <c r="H263" s="5" t="s">
        <v>52</v>
      </c>
      <c r="I263" s="8" t="s">
        <v>49</v>
      </c>
      <c r="J263" s="9">
        <v>10</v>
      </c>
      <c r="K263" s="8" t="s">
        <v>19</v>
      </c>
      <c r="L263" t="s">
        <v>210</v>
      </c>
      <c r="M263" t="str">
        <f>VLOOKUP(E263,Price!$A$2:$C$9,3,)</f>
        <v>$39.00</v>
      </c>
      <c r="N263">
        <f t="shared" si="27"/>
        <v>760</v>
      </c>
      <c r="O263">
        <f t="shared" si="28"/>
        <v>390</v>
      </c>
      <c r="P263">
        <f t="shared" si="29"/>
        <v>370</v>
      </c>
      <c r="Q263" s="20">
        <f>Table1[[#This Row],[Profit ]]/Table1[[#This Row],[Total Revenue]]</f>
        <v>0.48684210526315791</v>
      </c>
    </row>
    <row r="264" spans="1:17" ht="15.75" thickBot="1" x14ac:dyDescent="0.3">
      <c r="A264" s="11" t="s">
        <v>135</v>
      </c>
      <c r="B264" s="17" t="str">
        <f t="shared" si="24"/>
        <v>2026</v>
      </c>
      <c r="C264" s="17" t="str">
        <f t="shared" si="25"/>
        <v>17</v>
      </c>
      <c r="D264" s="17" t="str">
        <f t="shared" si="26"/>
        <v>Jun</v>
      </c>
      <c r="E264" s="5" t="s">
        <v>21</v>
      </c>
      <c r="F264" s="5" t="s">
        <v>90</v>
      </c>
      <c r="G264" s="5" t="s">
        <v>23</v>
      </c>
      <c r="H264" s="5" t="s">
        <v>52</v>
      </c>
      <c r="I264" s="5" t="s">
        <v>56</v>
      </c>
      <c r="J264" s="6">
        <v>4</v>
      </c>
      <c r="K264" s="5" t="s">
        <v>50</v>
      </c>
      <c r="L264" t="s">
        <v>208</v>
      </c>
      <c r="M264" t="str">
        <f>VLOOKUP(E264,Price!$A$2:$C$9,3,)</f>
        <v>$14.00</v>
      </c>
      <c r="N264">
        <f t="shared" si="27"/>
        <v>128</v>
      </c>
      <c r="O264">
        <f t="shared" si="28"/>
        <v>56</v>
      </c>
      <c r="P264">
        <f t="shared" si="29"/>
        <v>72</v>
      </c>
      <c r="Q264" s="20">
        <f>Table1[[#This Row],[Profit ]]/Table1[[#This Row],[Total Revenue]]</f>
        <v>0.5625</v>
      </c>
    </row>
    <row r="265" spans="1:17" ht="15.75" thickBot="1" x14ac:dyDescent="0.3">
      <c r="A265" s="10" t="s">
        <v>169</v>
      </c>
      <c r="B265" s="16" t="str">
        <f t="shared" si="24"/>
        <v>2026</v>
      </c>
      <c r="C265" s="16" t="str">
        <f t="shared" si="25"/>
        <v>24</v>
      </c>
      <c r="D265" s="16" t="str">
        <f t="shared" si="26"/>
        <v>Jul</v>
      </c>
      <c r="E265" s="5" t="s">
        <v>21</v>
      </c>
      <c r="F265" s="5" t="s">
        <v>90</v>
      </c>
      <c r="G265" s="8" t="s">
        <v>43</v>
      </c>
      <c r="H265" s="5" t="s">
        <v>12</v>
      </c>
      <c r="I265" s="8" t="s">
        <v>86</v>
      </c>
      <c r="J265" s="9">
        <v>7</v>
      </c>
      <c r="K265" s="8" t="s">
        <v>50</v>
      </c>
      <c r="L265" t="s">
        <v>208</v>
      </c>
      <c r="M265" t="str">
        <f>VLOOKUP(E265,Price!$A$2:$C$9,3,)</f>
        <v>$14.00</v>
      </c>
      <c r="N265">
        <f t="shared" si="27"/>
        <v>224</v>
      </c>
      <c r="O265">
        <f t="shared" si="28"/>
        <v>98</v>
      </c>
      <c r="P265">
        <f t="shared" si="29"/>
        <v>126</v>
      </c>
      <c r="Q265" s="20">
        <f>Table1[[#This Row],[Profit ]]/Table1[[#This Row],[Total Revenue]]</f>
        <v>0.5625</v>
      </c>
    </row>
    <row r="266" spans="1:17" ht="15.75" thickBot="1" x14ac:dyDescent="0.3">
      <c r="A266" s="11" t="s">
        <v>170</v>
      </c>
      <c r="B266" s="17" t="str">
        <f t="shared" si="24"/>
        <v>2026</v>
      </c>
      <c r="C266" s="17" t="str">
        <f t="shared" si="25"/>
        <v>27</v>
      </c>
      <c r="D266" s="17" t="str">
        <f t="shared" si="26"/>
        <v>May</v>
      </c>
      <c r="E266" s="5" t="s">
        <v>72</v>
      </c>
      <c r="F266" s="5" t="s">
        <v>90</v>
      </c>
      <c r="G266" s="5" t="s">
        <v>36</v>
      </c>
      <c r="H266" s="5" t="s">
        <v>52</v>
      </c>
      <c r="I266" s="5" t="s">
        <v>41</v>
      </c>
      <c r="J266" s="6">
        <v>10</v>
      </c>
      <c r="K266" s="5" t="s">
        <v>19</v>
      </c>
      <c r="L266" t="s">
        <v>214</v>
      </c>
      <c r="M266" t="str">
        <f>VLOOKUP(E266,Price!$A$2:$C$9,3,)</f>
        <v>$58.00</v>
      </c>
      <c r="N266">
        <f t="shared" si="27"/>
        <v>1050</v>
      </c>
      <c r="O266">
        <f t="shared" si="28"/>
        <v>580</v>
      </c>
      <c r="P266">
        <f t="shared" si="29"/>
        <v>470</v>
      </c>
      <c r="Q266" s="20">
        <f>Table1[[#This Row],[Profit ]]/Table1[[#This Row],[Total Revenue]]</f>
        <v>0.44761904761904764</v>
      </c>
    </row>
    <row r="267" spans="1:17" ht="15.75" thickBot="1" x14ac:dyDescent="0.3">
      <c r="A267" s="10" t="s">
        <v>161</v>
      </c>
      <c r="B267" s="16" t="str">
        <f t="shared" si="24"/>
        <v>2026</v>
      </c>
      <c r="C267" s="16" t="str">
        <f t="shared" si="25"/>
        <v>13</v>
      </c>
      <c r="D267" s="16" t="str">
        <f t="shared" si="26"/>
        <v>Feb</v>
      </c>
      <c r="E267" s="5" t="s">
        <v>21</v>
      </c>
      <c r="F267" s="5" t="s">
        <v>10</v>
      </c>
      <c r="G267" s="8" t="s">
        <v>11</v>
      </c>
      <c r="H267" s="5" t="s">
        <v>138</v>
      </c>
      <c r="I267" s="8" t="s">
        <v>33</v>
      </c>
      <c r="J267" s="9">
        <v>10</v>
      </c>
      <c r="K267" s="8" t="s">
        <v>19</v>
      </c>
      <c r="L267" t="s">
        <v>208</v>
      </c>
      <c r="M267" t="str">
        <f>VLOOKUP(E267,Price!$A$2:$C$9,3,)</f>
        <v>$14.00</v>
      </c>
      <c r="N267">
        <f t="shared" si="27"/>
        <v>320</v>
      </c>
      <c r="O267">
        <f t="shared" si="28"/>
        <v>140</v>
      </c>
      <c r="P267">
        <f t="shared" si="29"/>
        <v>180</v>
      </c>
      <c r="Q267" s="20">
        <f>Table1[[#This Row],[Profit ]]/Table1[[#This Row],[Total Revenue]]</f>
        <v>0.5625</v>
      </c>
    </row>
    <row r="268" spans="1:17" ht="15.75" thickBot="1" x14ac:dyDescent="0.3">
      <c r="A268" s="11" t="s">
        <v>166</v>
      </c>
      <c r="B268" s="17" t="str">
        <f t="shared" si="24"/>
        <v>2026</v>
      </c>
      <c r="C268" s="17" t="str">
        <f t="shared" si="25"/>
        <v>31</v>
      </c>
      <c r="D268" s="17" t="str">
        <f t="shared" si="26"/>
        <v>Jan</v>
      </c>
      <c r="E268" s="5" t="s">
        <v>97</v>
      </c>
      <c r="F268" s="5" t="s">
        <v>10</v>
      </c>
      <c r="G268" s="5" t="s">
        <v>43</v>
      </c>
      <c r="H268" s="5" t="s">
        <v>52</v>
      </c>
      <c r="I268" s="5" t="s">
        <v>25</v>
      </c>
      <c r="J268" s="6">
        <v>15</v>
      </c>
      <c r="K268" s="5" t="s">
        <v>50</v>
      </c>
      <c r="L268" t="s">
        <v>206</v>
      </c>
      <c r="M268" t="str">
        <f>VLOOKUP(E268,Price!$A$2:$C$9,3,)</f>
        <v>$28.00</v>
      </c>
      <c r="N268">
        <f t="shared" si="27"/>
        <v>810</v>
      </c>
      <c r="O268">
        <f t="shared" si="28"/>
        <v>420</v>
      </c>
      <c r="P268">
        <f t="shared" si="29"/>
        <v>390</v>
      </c>
      <c r="Q268" s="20">
        <f>Table1[[#This Row],[Profit ]]/Table1[[#This Row],[Total Revenue]]</f>
        <v>0.48148148148148145</v>
      </c>
    </row>
    <row r="269" spans="1:17" ht="15.75" thickBot="1" x14ac:dyDescent="0.3">
      <c r="A269" s="10" t="s">
        <v>98</v>
      </c>
      <c r="B269" s="16" t="str">
        <f t="shared" si="24"/>
        <v>2026</v>
      </c>
      <c r="C269" s="16" t="str">
        <f t="shared" si="25"/>
        <v>19</v>
      </c>
      <c r="D269" s="16" t="str">
        <f t="shared" si="26"/>
        <v>Apr</v>
      </c>
      <c r="E269" s="5" t="s">
        <v>97</v>
      </c>
      <c r="F269" s="5" t="s">
        <v>90</v>
      </c>
      <c r="G269" s="8" t="s">
        <v>23</v>
      </c>
      <c r="H269" s="5" t="s">
        <v>63</v>
      </c>
      <c r="I269" s="8" t="s">
        <v>28</v>
      </c>
      <c r="J269" s="9">
        <v>1</v>
      </c>
      <c r="K269" s="8" t="s">
        <v>19</v>
      </c>
      <c r="L269" t="s">
        <v>206</v>
      </c>
      <c r="M269" t="str">
        <f>VLOOKUP(E269,Price!$A$2:$C$9,3,)</f>
        <v>$28.00</v>
      </c>
      <c r="N269">
        <f t="shared" si="27"/>
        <v>54</v>
      </c>
      <c r="O269">
        <f t="shared" si="28"/>
        <v>28</v>
      </c>
      <c r="P269">
        <f t="shared" si="29"/>
        <v>26</v>
      </c>
      <c r="Q269" s="20">
        <f>Table1[[#This Row],[Profit ]]/Table1[[#This Row],[Total Revenue]]</f>
        <v>0.48148148148148145</v>
      </c>
    </row>
    <row r="270" spans="1:17" ht="15.75" thickBot="1" x14ac:dyDescent="0.3">
      <c r="A270" s="11" t="s">
        <v>150</v>
      </c>
      <c r="B270" s="17" t="str">
        <f t="shared" si="24"/>
        <v>2026</v>
      </c>
      <c r="C270" s="17" t="str">
        <f t="shared" si="25"/>
        <v>24</v>
      </c>
      <c r="D270" s="17" t="str">
        <f t="shared" si="26"/>
        <v>Mar</v>
      </c>
      <c r="E270" s="5" t="s">
        <v>34</v>
      </c>
      <c r="F270" s="5" t="s">
        <v>90</v>
      </c>
      <c r="G270" s="5" t="s">
        <v>17</v>
      </c>
      <c r="H270" s="5" t="s">
        <v>138</v>
      </c>
      <c r="I270" s="5" t="s">
        <v>13</v>
      </c>
      <c r="J270" s="6">
        <v>2</v>
      </c>
      <c r="K270" s="5" t="s">
        <v>42</v>
      </c>
      <c r="L270" t="s">
        <v>212</v>
      </c>
      <c r="M270" t="str">
        <f>VLOOKUP(E270,Price!$A$2:$C$9,3,)</f>
        <v>$72.00</v>
      </c>
      <c r="N270">
        <f t="shared" si="27"/>
        <v>256</v>
      </c>
      <c r="O270">
        <f t="shared" si="28"/>
        <v>144</v>
      </c>
      <c r="P270">
        <f t="shared" si="29"/>
        <v>112</v>
      </c>
      <c r="Q270" s="20">
        <f>Table1[[#This Row],[Profit ]]/Table1[[#This Row],[Total Revenue]]</f>
        <v>0.4375</v>
      </c>
    </row>
    <row r="271" spans="1:17" ht="15.75" thickBot="1" x14ac:dyDescent="0.3">
      <c r="A271" s="10">
        <v>46030</v>
      </c>
      <c r="B271" s="16" t="str">
        <f t="shared" si="24"/>
        <v>6030</v>
      </c>
      <c r="C271" s="16" t="str">
        <f t="shared" si="25"/>
        <v>30</v>
      </c>
      <c r="D271" s="16" t="str">
        <f t="shared" si="26"/>
        <v>Oct</v>
      </c>
      <c r="E271" s="5" t="s">
        <v>72</v>
      </c>
      <c r="F271" s="5" t="s">
        <v>90</v>
      </c>
      <c r="G271" s="8" t="s">
        <v>36</v>
      </c>
      <c r="H271" s="5" t="s">
        <v>63</v>
      </c>
      <c r="I271" s="8" t="s">
        <v>73</v>
      </c>
      <c r="J271" s="9">
        <v>12</v>
      </c>
      <c r="K271" s="8" t="s">
        <v>42</v>
      </c>
      <c r="L271" t="s">
        <v>214</v>
      </c>
      <c r="M271" t="str">
        <f>VLOOKUP(E271,Price!$A$2:$C$9,3,)</f>
        <v>$58.00</v>
      </c>
      <c r="N271">
        <f t="shared" si="27"/>
        <v>1260</v>
      </c>
      <c r="O271">
        <f t="shared" si="28"/>
        <v>696</v>
      </c>
      <c r="P271">
        <f t="shared" si="29"/>
        <v>564</v>
      </c>
      <c r="Q271" s="20">
        <f>Table1[[#This Row],[Profit ]]/Table1[[#This Row],[Total Revenue]]</f>
        <v>0.44761904761904764</v>
      </c>
    </row>
    <row r="272" spans="1:17" ht="15.75" thickBot="1" x14ac:dyDescent="0.3">
      <c r="A272" s="11">
        <v>46148</v>
      </c>
      <c r="B272" s="17" t="str">
        <f t="shared" si="24"/>
        <v>6148</v>
      </c>
      <c r="C272" s="17" t="str">
        <f t="shared" si="25"/>
        <v>48</v>
      </c>
      <c r="D272" s="17" t="str">
        <f t="shared" si="26"/>
        <v>Nov</v>
      </c>
      <c r="E272" s="5" t="s">
        <v>97</v>
      </c>
      <c r="F272" s="5" t="s">
        <v>10</v>
      </c>
      <c r="G272" s="5" t="s">
        <v>43</v>
      </c>
      <c r="H272" s="5" t="s">
        <v>12</v>
      </c>
      <c r="I272" s="5" t="s">
        <v>49</v>
      </c>
      <c r="J272" s="6">
        <v>15</v>
      </c>
      <c r="K272" s="5" t="s">
        <v>14</v>
      </c>
      <c r="L272" t="s">
        <v>206</v>
      </c>
      <c r="M272" t="str">
        <f>VLOOKUP(E272,Price!$A$2:$C$9,3,)</f>
        <v>$28.00</v>
      </c>
      <c r="N272">
        <f t="shared" si="27"/>
        <v>810</v>
      </c>
      <c r="O272">
        <f t="shared" si="28"/>
        <v>420</v>
      </c>
      <c r="P272">
        <f t="shared" si="29"/>
        <v>390</v>
      </c>
      <c r="Q272" s="20">
        <f>Table1[[#This Row],[Profit ]]/Table1[[#This Row],[Total Revenue]]</f>
        <v>0.48148148148148145</v>
      </c>
    </row>
    <row r="273" spans="1:17" ht="15.75" thickBot="1" x14ac:dyDescent="0.3">
      <c r="A273" s="10" t="s">
        <v>135</v>
      </c>
      <c r="B273" s="16" t="str">
        <f t="shared" si="24"/>
        <v>2026</v>
      </c>
      <c r="C273" s="16" t="str">
        <f t="shared" si="25"/>
        <v>17</v>
      </c>
      <c r="D273" s="16" t="str">
        <f t="shared" si="26"/>
        <v>Jun</v>
      </c>
      <c r="E273" s="5" t="s">
        <v>21</v>
      </c>
      <c r="F273" s="5" t="s">
        <v>10</v>
      </c>
      <c r="G273" s="8" t="s">
        <v>36</v>
      </c>
      <c r="H273" s="5" t="s">
        <v>138</v>
      </c>
      <c r="I273" s="8" t="s">
        <v>49</v>
      </c>
      <c r="J273" s="9">
        <v>13</v>
      </c>
      <c r="K273" s="8" t="s">
        <v>50</v>
      </c>
      <c r="L273" t="s">
        <v>208</v>
      </c>
      <c r="M273" t="str">
        <f>VLOOKUP(E273,Price!$A$2:$C$9,3,)</f>
        <v>$14.00</v>
      </c>
      <c r="N273">
        <f t="shared" si="27"/>
        <v>416</v>
      </c>
      <c r="O273">
        <f t="shared" si="28"/>
        <v>182</v>
      </c>
      <c r="P273">
        <f t="shared" si="29"/>
        <v>234</v>
      </c>
      <c r="Q273" s="20">
        <f>Table1[[#This Row],[Profit ]]/Table1[[#This Row],[Total Revenue]]</f>
        <v>0.5625</v>
      </c>
    </row>
    <row r="274" spans="1:17" ht="15.75" thickBot="1" x14ac:dyDescent="0.3">
      <c r="A274" s="11" t="s">
        <v>100</v>
      </c>
      <c r="B274" s="17" t="str">
        <f t="shared" si="24"/>
        <v>2026</v>
      </c>
      <c r="C274" s="17" t="str">
        <f t="shared" si="25"/>
        <v>29</v>
      </c>
      <c r="D274" s="17" t="str">
        <f t="shared" si="26"/>
        <v>Mar</v>
      </c>
      <c r="E274" s="5" t="s">
        <v>118</v>
      </c>
      <c r="F274" s="5" t="s">
        <v>90</v>
      </c>
      <c r="G274" s="5" t="s">
        <v>23</v>
      </c>
      <c r="H274" s="5" t="s">
        <v>52</v>
      </c>
      <c r="I274" s="5" t="s">
        <v>13</v>
      </c>
      <c r="J274" s="6">
        <v>3</v>
      </c>
      <c r="K274" s="5" t="s">
        <v>42</v>
      </c>
      <c r="L274" t="s">
        <v>218</v>
      </c>
      <c r="M274" t="str">
        <f>VLOOKUP(E274,Price!$A$2:$C$9,3,)</f>
        <v>$67.00</v>
      </c>
      <c r="N274">
        <f t="shared" si="27"/>
        <v>357</v>
      </c>
      <c r="O274">
        <f t="shared" si="28"/>
        <v>201</v>
      </c>
      <c r="P274">
        <f t="shared" si="29"/>
        <v>156</v>
      </c>
      <c r="Q274" s="20">
        <f>Table1[[#This Row],[Profit ]]/Table1[[#This Row],[Total Revenue]]</f>
        <v>0.43697478991596639</v>
      </c>
    </row>
    <row r="275" spans="1:17" ht="15.75" thickBot="1" x14ac:dyDescent="0.3">
      <c r="A275" s="10">
        <v>46149</v>
      </c>
      <c r="B275" s="16" t="str">
        <f t="shared" si="24"/>
        <v>6149</v>
      </c>
      <c r="C275" s="16" t="str">
        <f t="shared" si="25"/>
        <v>49</v>
      </c>
      <c r="D275" s="16" t="str">
        <f t="shared" si="26"/>
        <v>Nov</v>
      </c>
      <c r="E275" s="5" t="s">
        <v>74</v>
      </c>
      <c r="F275" s="5" t="s">
        <v>10</v>
      </c>
      <c r="G275" s="8" t="s">
        <v>36</v>
      </c>
      <c r="H275" s="5" t="s">
        <v>138</v>
      </c>
      <c r="I275" s="8" t="s">
        <v>86</v>
      </c>
      <c r="J275" s="9">
        <v>3</v>
      </c>
      <c r="K275" s="8" t="s">
        <v>42</v>
      </c>
      <c r="L275" t="s">
        <v>204</v>
      </c>
      <c r="M275" t="str">
        <f>VLOOKUP(E275,Price!$A$2:$C$9,3,)</f>
        <v>$47.00</v>
      </c>
      <c r="N275">
        <f t="shared" si="27"/>
        <v>267</v>
      </c>
      <c r="O275">
        <f t="shared" si="28"/>
        <v>141</v>
      </c>
      <c r="P275">
        <f t="shared" si="29"/>
        <v>126</v>
      </c>
      <c r="Q275" s="20">
        <f>Table1[[#This Row],[Profit ]]/Table1[[#This Row],[Total Revenue]]</f>
        <v>0.47191011235955055</v>
      </c>
    </row>
    <row r="276" spans="1:17" ht="15.75" thickBot="1" x14ac:dyDescent="0.3">
      <c r="A276" s="11" t="s">
        <v>54</v>
      </c>
      <c r="B276" s="17" t="str">
        <f t="shared" si="24"/>
        <v>2026</v>
      </c>
      <c r="C276" s="17" t="str">
        <f t="shared" si="25"/>
        <v>16</v>
      </c>
      <c r="D276" s="17" t="str">
        <f t="shared" si="26"/>
        <v>Mar</v>
      </c>
      <c r="E276" s="5" t="s">
        <v>118</v>
      </c>
      <c r="F276" s="5" t="s">
        <v>10</v>
      </c>
      <c r="G276" s="5" t="s">
        <v>11</v>
      </c>
      <c r="H276" s="5" t="s">
        <v>52</v>
      </c>
      <c r="I276" s="5" t="s">
        <v>38</v>
      </c>
      <c r="J276" s="6">
        <v>12</v>
      </c>
      <c r="K276" s="5" t="s">
        <v>50</v>
      </c>
      <c r="L276" t="s">
        <v>218</v>
      </c>
      <c r="M276" t="str">
        <f>VLOOKUP(E276,Price!$A$2:$C$9,3,)</f>
        <v>$67.00</v>
      </c>
      <c r="N276">
        <f t="shared" si="27"/>
        <v>1428</v>
      </c>
      <c r="O276">
        <f t="shared" si="28"/>
        <v>804</v>
      </c>
      <c r="P276">
        <f t="shared" si="29"/>
        <v>624</v>
      </c>
      <c r="Q276" s="20">
        <f>Table1[[#This Row],[Profit ]]/Table1[[#This Row],[Total Revenue]]</f>
        <v>0.43697478991596639</v>
      </c>
    </row>
    <row r="277" spans="1:17" ht="15.75" thickBot="1" x14ac:dyDescent="0.3">
      <c r="A277" s="10" t="s">
        <v>15</v>
      </c>
      <c r="B277" s="16" t="str">
        <f t="shared" si="24"/>
        <v>2026</v>
      </c>
      <c r="C277" s="16" t="str">
        <f t="shared" si="25"/>
        <v>26</v>
      </c>
      <c r="D277" s="16" t="str">
        <f t="shared" si="26"/>
        <v>Jun</v>
      </c>
      <c r="E277" s="5" t="s">
        <v>34</v>
      </c>
      <c r="F277" s="5" t="s">
        <v>10</v>
      </c>
      <c r="G277" s="8" t="s">
        <v>36</v>
      </c>
      <c r="H277" s="5" t="s">
        <v>63</v>
      </c>
      <c r="I277" s="8" t="s">
        <v>25</v>
      </c>
      <c r="J277" s="9">
        <v>8</v>
      </c>
      <c r="K277" s="8" t="s">
        <v>42</v>
      </c>
      <c r="L277" t="s">
        <v>212</v>
      </c>
      <c r="M277" t="str">
        <f>VLOOKUP(E277,Price!$A$2:$C$9,3,)</f>
        <v>$72.00</v>
      </c>
      <c r="N277">
        <f t="shared" si="27"/>
        <v>1024</v>
      </c>
      <c r="O277">
        <f t="shared" si="28"/>
        <v>576</v>
      </c>
      <c r="P277">
        <f t="shared" si="29"/>
        <v>448</v>
      </c>
      <c r="Q277" s="20">
        <f>Table1[[#This Row],[Profit ]]/Table1[[#This Row],[Total Revenue]]</f>
        <v>0.4375</v>
      </c>
    </row>
    <row r="278" spans="1:17" ht="15.75" thickBot="1" x14ac:dyDescent="0.3">
      <c r="A278" s="11" t="s">
        <v>89</v>
      </c>
      <c r="B278" s="17" t="str">
        <f t="shared" si="24"/>
        <v>2026</v>
      </c>
      <c r="C278" s="17" t="str">
        <f t="shared" si="25"/>
        <v>30</v>
      </c>
      <c r="D278" s="17" t="str">
        <f t="shared" si="26"/>
        <v>Mar</v>
      </c>
      <c r="E278" s="5" t="s">
        <v>140</v>
      </c>
      <c r="F278" s="5" t="s">
        <v>90</v>
      </c>
      <c r="G278" s="5" t="s">
        <v>36</v>
      </c>
      <c r="H278" s="5" t="s">
        <v>138</v>
      </c>
      <c r="I278" s="5" t="s">
        <v>86</v>
      </c>
      <c r="J278" s="6">
        <v>4</v>
      </c>
      <c r="K278" s="5" t="s">
        <v>14</v>
      </c>
      <c r="L278" t="s">
        <v>216</v>
      </c>
      <c r="M278" t="str">
        <f>VLOOKUP(E278,Price!$A$2:$C$9,3,)</f>
        <v>$64.00</v>
      </c>
      <c r="N278">
        <f t="shared" si="27"/>
        <v>448</v>
      </c>
      <c r="O278">
        <f t="shared" si="28"/>
        <v>256</v>
      </c>
      <c r="P278">
        <f t="shared" si="29"/>
        <v>192</v>
      </c>
      <c r="Q278" s="20">
        <f>Table1[[#This Row],[Profit ]]/Table1[[#This Row],[Total Revenue]]</f>
        <v>0.42857142857142855</v>
      </c>
    </row>
    <row r="279" spans="1:17" ht="15.75" thickBot="1" x14ac:dyDescent="0.3">
      <c r="A279" s="10" t="s">
        <v>81</v>
      </c>
      <c r="B279" s="16" t="str">
        <f t="shared" si="24"/>
        <v>2026</v>
      </c>
      <c r="C279" s="16" t="str">
        <f t="shared" si="25"/>
        <v>13</v>
      </c>
      <c r="D279" s="16" t="str">
        <f t="shared" si="26"/>
        <v>Mar</v>
      </c>
      <c r="E279" s="5" t="s">
        <v>21</v>
      </c>
      <c r="F279" s="5" t="s">
        <v>62</v>
      </c>
      <c r="G279" s="8" t="s">
        <v>23</v>
      </c>
      <c r="H279" s="5" t="s">
        <v>52</v>
      </c>
      <c r="I279" s="8" t="s">
        <v>53</v>
      </c>
      <c r="J279" s="9">
        <v>9</v>
      </c>
      <c r="K279" s="8" t="s">
        <v>19</v>
      </c>
      <c r="L279" t="s">
        <v>208</v>
      </c>
      <c r="M279" t="str">
        <f>VLOOKUP(E279,Price!$A$2:$C$9,3,)</f>
        <v>$14.00</v>
      </c>
      <c r="N279">
        <f t="shared" si="27"/>
        <v>288</v>
      </c>
      <c r="O279">
        <f t="shared" si="28"/>
        <v>126</v>
      </c>
      <c r="P279">
        <f t="shared" si="29"/>
        <v>162</v>
      </c>
      <c r="Q279" s="20">
        <f>Table1[[#This Row],[Profit ]]/Table1[[#This Row],[Total Revenue]]</f>
        <v>0.5625</v>
      </c>
    </row>
    <row r="280" spans="1:17" ht="15.75" thickBot="1" x14ac:dyDescent="0.3">
      <c r="A280" s="11">
        <v>46266</v>
      </c>
      <c r="B280" s="17" t="str">
        <f t="shared" si="24"/>
        <v>6266</v>
      </c>
      <c r="C280" s="17" t="str">
        <f t="shared" si="25"/>
        <v>66</v>
      </c>
      <c r="D280" s="17" t="str">
        <f t="shared" si="26"/>
        <v>Dec</v>
      </c>
      <c r="E280" s="5" t="s">
        <v>34</v>
      </c>
      <c r="F280" s="5" t="s">
        <v>10</v>
      </c>
      <c r="G280" s="5" t="s">
        <v>17</v>
      </c>
      <c r="H280" s="5" t="s">
        <v>52</v>
      </c>
      <c r="I280" s="5" t="s">
        <v>25</v>
      </c>
      <c r="J280" s="6">
        <v>7</v>
      </c>
      <c r="K280" s="5" t="s">
        <v>42</v>
      </c>
      <c r="L280" t="s">
        <v>212</v>
      </c>
      <c r="M280" t="str">
        <f>VLOOKUP(E280,Price!$A$2:$C$9,3,)</f>
        <v>$72.00</v>
      </c>
      <c r="N280">
        <f t="shared" si="27"/>
        <v>896</v>
      </c>
      <c r="O280">
        <f t="shared" si="28"/>
        <v>504</v>
      </c>
      <c r="P280">
        <f t="shared" si="29"/>
        <v>392</v>
      </c>
      <c r="Q280" s="20">
        <f>Table1[[#This Row],[Profit ]]/Table1[[#This Row],[Total Revenue]]</f>
        <v>0.4375</v>
      </c>
    </row>
    <row r="281" spans="1:17" ht="15.75" thickBot="1" x14ac:dyDescent="0.3">
      <c r="A281" s="10">
        <v>46028</v>
      </c>
      <c r="B281" s="16" t="str">
        <f t="shared" si="24"/>
        <v>6028</v>
      </c>
      <c r="C281" s="16" t="str">
        <f t="shared" si="25"/>
        <v>28</v>
      </c>
      <c r="D281" s="16" t="str">
        <f t="shared" si="26"/>
        <v>Oct</v>
      </c>
      <c r="E281" s="5" t="s">
        <v>34</v>
      </c>
      <c r="F281" s="5" t="s">
        <v>10</v>
      </c>
      <c r="G281" s="8" t="s">
        <v>43</v>
      </c>
      <c r="H281" s="5" t="s">
        <v>52</v>
      </c>
      <c r="I281" s="8" t="s">
        <v>38</v>
      </c>
      <c r="J281" s="9">
        <v>8</v>
      </c>
      <c r="K281" s="8" t="s">
        <v>14</v>
      </c>
      <c r="L281" t="s">
        <v>212</v>
      </c>
      <c r="M281" t="str">
        <f>VLOOKUP(E281,Price!$A$2:$C$9,3,)</f>
        <v>$72.00</v>
      </c>
      <c r="N281">
        <f t="shared" si="27"/>
        <v>1024</v>
      </c>
      <c r="O281">
        <f t="shared" si="28"/>
        <v>576</v>
      </c>
      <c r="P281">
        <f t="shared" si="29"/>
        <v>448</v>
      </c>
      <c r="Q281" s="20">
        <f>Table1[[#This Row],[Profit ]]/Table1[[#This Row],[Total Revenue]]</f>
        <v>0.4375</v>
      </c>
    </row>
    <row r="282" spans="1:17" ht="15.75" thickBot="1" x14ac:dyDescent="0.3">
      <c r="A282" s="11" t="s">
        <v>171</v>
      </c>
      <c r="B282" s="17" t="str">
        <f t="shared" si="24"/>
        <v>2026</v>
      </c>
      <c r="C282" s="17" t="str">
        <f t="shared" si="25"/>
        <v>26</v>
      </c>
      <c r="D282" s="17" t="str">
        <f t="shared" si="26"/>
        <v>May</v>
      </c>
      <c r="E282" s="5" t="s">
        <v>140</v>
      </c>
      <c r="F282" s="5" t="s">
        <v>10</v>
      </c>
      <c r="G282" s="5" t="s">
        <v>43</v>
      </c>
      <c r="H282" s="5" t="s">
        <v>52</v>
      </c>
      <c r="I282" s="5" t="s">
        <v>103</v>
      </c>
      <c r="J282" s="6">
        <v>6</v>
      </c>
      <c r="K282" s="5" t="s">
        <v>14</v>
      </c>
      <c r="L282" t="s">
        <v>216</v>
      </c>
      <c r="M282" t="str">
        <f>VLOOKUP(E282,Price!$A$2:$C$9,3,)</f>
        <v>$64.00</v>
      </c>
      <c r="N282">
        <f t="shared" si="27"/>
        <v>672</v>
      </c>
      <c r="O282">
        <f t="shared" si="28"/>
        <v>384</v>
      </c>
      <c r="P282">
        <f t="shared" si="29"/>
        <v>288</v>
      </c>
      <c r="Q282" s="20">
        <f>Table1[[#This Row],[Profit ]]/Table1[[#This Row],[Total Revenue]]</f>
        <v>0.42857142857142855</v>
      </c>
    </row>
    <row r="283" spans="1:17" ht="15.75" thickBot="1" x14ac:dyDescent="0.3">
      <c r="A283" s="10">
        <v>46175</v>
      </c>
      <c r="B283" s="16" t="str">
        <f t="shared" si="24"/>
        <v>6175</v>
      </c>
      <c r="C283" s="16" t="str">
        <f t="shared" si="25"/>
        <v>75</v>
      </c>
      <c r="D283" s="16" t="str">
        <f t="shared" si="26"/>
        <v>Dec</v>
      </c>
      <c r="E283" s="5" t="s">
        <v>34</v>
      </c>
      <c r="F283" s="5" t="s">
        <v>10</v>
      </c>
      <c r="G283" s="8" t="s">
        <v>17</v>
      </c>
      <c r="H283" s="5" t="s">
        <v>52</v>
      </c>
      <c r="I283" s="8" t="s">
        <v>28</v>
      </c>
      <c r="J283" s="9">
        <v>3</v>
      </c>
      <c r="K283" s="8" t="s">
        <v>14</v>
      </c>
      <c r="L283" t="s">
        <v>212</v>
      </c>
      <c r="M283" t="str">
        <f>VLOOKUP(E283,Price!$A$2:$C$9,3,)</f>
        <v>$72.00</v>
      </c>
      <c r="N283">
        <f t="shared" si="27"/>
        <v>384</v>
      </c>
      <c r="O283">
        <f t="shared" si="28"/>
        <v>216</v>
      </c>
      <c r="P283">
        <f t="shared" si="29"/>
        <v>168</v>
      </c>
      <c r="Q283" s="20">
        <f>Table1[[#This Row],[Profit ]]/Table1[[#This Row],[Total Revenue]]</f>
        <v>0.4375</v>
      </c>
    </row>
    <row r="284" spans="1:17" ht="15.75" thickBot="1" x14ac:dyDescent="0.3">
      <c r="A284" s="11">
        <v>46206</v>
      </c>
      <c r="B284" s="17" t="str">
        <f t="shared" si="24"/>
        <v>6206</v>
      </c>
      <c r="C284" s="17" t="str">
        <f t="shared" si="25"/>
        <v>06</v>
      </c>
      <c r="D284" s="17" t="str">
        <f t="shared" si="26"/>
        <v>Oct</v>
      </c>
      <c r="E284" s="5" t="s">
        <v>72</v>
      </c>
      <c r="F284" s="5" t="s">
        <v>35</v>
      </c>
      <c r="G284" s="5" t="s">
        <v>11</v>
      </c>
      <c r="H284" s="5" t="s">
        <v>52</v>
      </c>
      <c r="I284" s="5" t="s">
        <v>41</v>
      </c>
      <c r="J284" s="6">
        <v>3</v>
      </c>
      <c r="K284" s="5" t="s">
        <v>42</v>
      </c>
      <c r="L284" t="s">
        <v>214</v>
      </c>
      <c r="M284" t="str">
        <f>VLOOKUP(E284,Price!$A$2:$C$9,3,)</f>
        <v>$58.00</v>
      </c>
      <c r="N284">
        <f t="shared" si="27"/>
        <v>315</v>
      </c>
      <c r="O284">
        <f t="shared" si="28"/>
        <v>174</v>
      </c>
      <c r="P284">
        <f t="shared" si="29"/>
        <v>141</v>
      </c>
      <c r="Q284" s="20">
        <f>Table1[[#This Row],[Profit ]]/Table1[[#This Row],[Total Revenue]]</f>
        <v>0.44761904761904764</v>
      </c>
    </row>
    <row r="285" spans="1:17" ht="15.75" thickBot="1" x14ac:dyDescent="0.3">
      <c r="A285" s="10">
        <v>46296</v>
      </c>
      <c r="B285" s="16" t="str">
        <f t="shared" si="24"/>
        <v>6296</v>
      </c>
      <c r="C285" s="16" t="str">
        <f t="shared" si="25"/>
        <v>96</v>
      </c>
      <c r="D285" s="16" t="str">
        <f t="shared" si="26"/>
        <v>Jan</v>
      </c>
      <c r="E285" s="5" t="s">
        <v>34</v>
      </c>
      <c r="F285" s="5" t="s">
        <v>10</v>
      </c>
      <c r="G285" s="8" t="s">
        <v>11</v>
      </c>
      <c r="H285" s="5" t="s">
        <v>52</v>
      </c>
      <c r="I285" s="8" t="s">
        <v>86</v>
      </c>
      <c r="J285" s="9">
        <v>7</v>
      </c>
      <c r="K285" s="8" t="s">
        <v>14</v>
      </c>
      <c r="L285" t="s">
        <v>212</v>
      </c>
      <c r="M285" t="str">
        <f>VLOOKUP(E285,Price!$A$2:$C$9,3,)</f>
        <v>$72.00</v>
      </c>
      <c r="N285">
        <f t="shared" si="27"/>
        <v>896</v>
      </c>
      <c r="O285">
        <f t="shared" si="28"/>
        <v>504</v>
      </c>
      <c r="P285">
        <f t="shared" si="29"/>
        <v>392</v>
      </c>
      <c r="Q285" s="20">
        <f>Table1[[#This Row],[Profit ]]/Table1[[#This Row],[Total Revenue]]</f>
        <v>0.4375</v>
      </c>
    </row>
    <row r="286" spans="1:17" ht="15.75" thickBot="1" x14ac:dyDescent="0.3">
      <c r="A286" s="11" t="s">
        <v>65</v>
      </c>
      <c r="B286" s="17" t="str">
        <f t="shared" si="24"/>
        <v>2026</v>
      </c>
      <c r="C286" s="17" t="str">
        <f t="shared" si="25"/>
        <v>13</v>
      </c>
      <c r="D286" s="17" t="str">
        <f t="shared" si="26"/>
        <v>Apr</v>
      </c>
      <c r="E286" s="5" t="s">
        <v>118</v>
      </c>
      <c r="F286" s="5" t="s">
        <v>10</v>
      </c>
      <c r="G286" s="5" t="s">
        <v>36</v>
      </c>
      <c r="H286" s="5" t="s">
        <v>52</v>
      </c>
      <c r="I286" s="5" t="s">
        <v>86</v>
      </c>
      <c r="J286" s="6">
        <v>5</v>
      </c>
      <c r="K286" s="5" t="s">
        <v>50</v>
      </c>
      <c r="L286" t="s">
        <v>218</v>
      </c>
      <c r="M286" t="str">
        <f>VLOOKUP(E286,Price!$A$2:$C$9,3,)</f>
        <v>$67.00</v>
      </c>
      <c r="N286">
        <f t="shared" si="27"/>
        <v>595</v>
      </c>
      <c r="O286">
        <f t="shared" si="28"/>
        <v>335</v>
      </c>
      <c r="P286">
        <f t="shared" si="29"/>
        <v>260</v>
      </c>
      <c r="Q286" s="20">
        <f>Table1[[#This Row],[Profit ]]/Table1[[#This Row],[Total Revenue]]</f>
        <v>0.43697478991596639</v>
      </c>
    </row>
    <row r="287" spans="1:17" ht="15.75" thickBot="1" x14ac:dyDescent="0.3">
      <c r="A287" s="10" t="s">
        <v>134</v>
      </c>
      <c r="B287" s="16" t="str">
        <f t="shared" si="24"/>
        <v>2026</v>
      </c>
      <c r="C287" s="16" t="str">
        <f t="shared" si="25"/>
        <v>27</v>
      </c>
      <c r="D287" s="16" t="str">
        <f t="shared" si="26"/>
        <v>Jan</v>
      </c>
      <c r="E287" s="5" t="s">
        <v>118</v>
      </c>
      <c r="F287" s="5" t="s">
        <v>62</v>
      </c>
      <c r="G287" s="8" t="s">
        <v>11</v>
      </c>
      <c r="H287" s="5" t="s">
        <v>52</v>
      </c>
      <c r="I287" s="8" t="s">
        <v>56</v>
      </c>
      <c r="J287" s="9">
        <v>3</v>
      </c>
      <c r="K287" s="8" t="s">
        <v>19</v>
      </c>
      <c r="L287" t="s">
        <v>218</v>
      </c>
      <c r="M287" t="str">
        <f>VLOOKUP(E287,Price!$A$2:$C$9,3,)</f>
        <v>$67.00</v>
      </c>
      <c r="N287">
        <f t="shared" si="27"/>
        <v>357</v>
      </c>
      <c r="O287">
        <f t="shared" si="28"/>
        <v>201</v>
      </c>
      <c r="P287">
        <f t="shared" si="29"/>
        <v>156</v>
      </c>
      <c r="Q287" s="20">
        <f>Table1[[#This Row],[Profit ]]/Table1[[#This Row],[Total Revenue]]</f>
        <v>0.43697478991596639</v>
      </c>
    </row>
    <row r="288" spans="1:17" ht="15.75" thickBot="1" x14ac:dyDescent="0.3">
      <c r="A288" s="11" t="s">
        <v>172</v>
      </c>
      <c r="B288" s="17" t="str">
        <f t="shared" si="24"/>
        <v>2026</v>
      </c>
      <c r="C288" s="17" t="str">
        <f t="shared" si="25"/>
        <v>26</v>
      </c>
      <c r="D288" s="17" t="str">
        <f t="shared" si="26"/>
        <v>Apr</v>
      </c>
      <c r="E288" s="5" t="s">
        <v>72</v>
      </c>
      <c r="F288" s="5" t="s">
        <v>90</v>
      </c>
      <c r="G288" s="5" t="s">
        <v>11</v>
      </c>
      <c r="H288" s="5" t="s">
        <v>52</v>
      </c>
      <c r="I288" s="5" t="s">
        <v>13</v>
      </c>
      <c r="J288" s="6">
        <v>12</v>
      </c>
      <c r="K288" s="5" t="s">
        <v>19</v>
      </c>
      <c r="L288" t="s">
        <v>214</v>
      </c>
      <c r="M288" t="str">
        <f>VLOOKUP(E288,Price!$A$2:$C$9,3,)</f>
        <v>$58.00</v>
      </c>
      <c r="N288">
        <f t="shared" si="27"/>
        <v>1260</v>
      </c>
      <c r="O288">
        <f t="shared" si="28"/>
        <v>696</v>
      </c>
      <c r="P288">
        <f t="shared" si="29"/>
        <v>564</v>
      </c>
      <c r="Q288" s="20">
        <f>Table1[[#This Row],[Profit ]]/Table1[[#This Row],[Total Revenue]]</f>
        <v>0.44761904761904764</v>
      </c>
    </row>
    <row r="289" spans="1:17" ht="15.75" thickBot="1" x14ac:dyDescent="0.3">
      <c r="A289" s="10" t="s">
        <v>130</v>
      </c>
      <c r="B289" s="16" t="str">
        <f t="shared" si="24"/>
        <v>2026</v>
      </c>
      <c r="C289" s="16" t="str">
        <f t="shared" si="25"/>
        <v>20</v>
      </c>
      <c r="D289" s="16" t="str">
        <f t="shared" si="26"/>
        <v>Jun</v>
      </c>
      <c r="E289" s="5" t="s">
        <v>21</v>
      </c>
      <c r="F289" s="5" t="s">
        <v>10</v>
      </c>
      <c r="G289" s="8" t="s">
        <v>36</v>
      </c>
      <c r="H289" s="5" t="s">
        <v>52</v>
      </c>
      <c r="I289" s="8" t="s">
        <v>33</v>
      </c>
      <c r="J289" s="9">
        <v>9</v>
      </c>
      <c r="K289" s="8" t="s">
        <v>19</v>
      </c>
      <c r="L289" t="s">
        <v>208</v>
      </c>
      <c r="M289" t="str">
        <f>VLOOKUP(E289,Price!$A$2:$C$9,3,)</f>
        <v>$14.00</v>
      </c>
      <c r="N289">
        <f t="shared" si="27"/>
        <v>288</v>
      </c>
      <c r="O289">
        <f t="shared" si="28"/>
        <v>126</v>
      </c>
      <c r="P289">
        <f t="shared" si="29"/>
        <v>162</v>
      </c>
      <c r="Q289" s="20">
        <f>Table1[[#This Row],[Profit ]]/Table1[[#This Row],[Total Revenue]]</f>
        <v>0.5625</v>
      </c>
    </row>
    <row r="290" spans="1:17" ht="15.75" thickBot="1" x14ac:dyDescent="0.3">
      <c r="A290" s="11">
        <v>46360</v>
      </c>
      <c r="B290" s="17" t="str">
        <f t="shared" si="24"/>
        <v>6360</v>
      </c>
      <c r="C290" s="17" t="str">
        <f t="shared" si="25"/>
        <v>60</v>
      </c>
      <c r="D290" s="17" t="str">
        <f t="shared" si="26"/>
        <v>Nov</v>
      </c>
      <c r="E290" s="5" t="s">
        <v>118</v>
      </c>
      <c r="F290" s="5" t="s">
        <v>10</v>
      </c>
      <c r="G290" s="5" t="s">
        <v>11</v>
      </c>
      <c r="H290" s="5" t="s">
        <v>52</v>
      </c>
      <c r="I290" s="5" t="s">
        <v>47</v>
      </c>
      <c r="J290" s="6">
        <v>3</v>
      </c>
      <c r="K290" s="5" t="s">
        <v>50</v>
      </c>
      <c r="L290" t="s">
        <v>218</v>
      </c>
      <c r="M290" t="str">
        <f>VLOOKUP(E290,Price!$A$2:$C$9,3,)</f>
        <v>$67.00</v>
      </c>
      <c r="N290">
        <f t="shared" si="27"/>
        <v>357</v>
      </c>
      <c r="O290">
        <f t="shared" si="28"/>
        <v>201</v>
      </c>
      <c r="P290">
        <f t="shared" si="29"/>
        <v>156</v>
      </c>
      <c r="Q290" s="20">
        <f>Table1[[#This Row],[Profit ]]/Table1[[#This Row],[Total Revenue]]</f>
        <v>0.43697478991596639</v>
      </c>
    </row>
    <row r="291" spans="1:17" ht="15.75" thickBot="1" x14ac:dyDescent="0.3">
      <c r="A291" s="10">
        <v>46174</v>
      </c>
      <c r="B291" s="16" t="str">
        <f t="shared" si="24"/>
        <v>6174</v>
      </c>
      <c r="C291" s="16" t="str">
        <f t="shared" si="25"/>
        <v>74</v>
      </c>
      <c r="D291" s="16" t="str">
        <f t="shared" si="26"/>
        <v>Dec</v>
      </c>
      <c r="E291" s="5" t="s">
        <v>72</v>
      </c>
      <c r="F291" s="5" t="s">
        <v>10</v>
      </c>
      <c r="G291" s="8" t="s">
        <v>11</v>
      </c>
      <c r="H291" s="5" t="s">
        <v>12</v>
      </c>
      <c r="I291" s="8" t="s">
        <v>38</v>
      </c>
      <c r="J291" s="9">
        <v>9</v>
      </c>
      <c r="K291" s="8" t="s">
        <v>14</v>
      </c>
      <c r="L291" t="s">
        <v>214</v>
      </c>
      <c r="M291" t="str">
        <f>VLOOKUP(E291,Price!$A$2:$C$9,3,)</f>
        <v>$58.00</v>
      </c>
      <c r="N291">
        <f t="shared" si="27"/>
        <v>945</v>
      </c>
      <c r="O291">
        <f t="shared" si="28"/>
        <v>522</v>
      </c>
      <c r="P291">
        <f t="shared" si="29"/>
        <v>423</v>
      </c>
      <c r="Q291" s="20">
        <f>Table1[[#This Row],[Profit ]]/Table1[[#This Row],[Total Revenue]]</f>
        <v>0.44761904761904764</v>
      </c>
    </row>
    <row r="292" spans="1:17" ht="15.75" thickBot="1" x14ac:dyDescent="0.3">
      <c r="A292" s="11">
        <v>46268</v>
      </c>
      <c r="B292" s="17" t="str">
        <f t="shared" si="24"/>
        <v>6268</v>
      </c>
      <c r="C292" s="17" t="str">
        <f t="shared" si="25"/>
        <v>68</v>
      </c>
      <c r="D292" s="17" t="str">
        <f t="shared" si="26"/>
        <v>Dec</v>
      </c>
      <c r="E292" s="5" t="s">
        <v>140</v>
      </c>
      <c r="F292" s="5" t="s">
        <v>10</v>
      </c>
      <c r="G292" s="5" t="s">
        <v>36</v>
      </c>
      <c r="H292" s="5" t="s">
        <v>63</v>
      </c>
      <c r="I292" s="5" t="s">
        <v>33</v>
      </c>
      <c r="J292" s="6">
        <v>2</v>
      </c>
      <c r="K292" s="5" t="s">
        <v>19</v>
      </c>
      <c r="L292" t="s">
        <v>216</v>
      </c>
      <c r="M292" t="str">
        <f>VLOOKUP(E292,Price!$A$2:$C$9,3,)</f>
        <v>$64.00</v>
      </c>
      <c r="N292">
        <f t="shared" si="27"/>
        <v>224</v>
      </c>
      <c r="O292">
        <f t="shared" si="28"/>
        <v>128</v>
      </c>
      <c r="P292">
        <f t="shared" si="29"/>
        <v>96</v>
      </c>
      <c r="Q292" s="20">
        <f>Table1[[#This Row],[Profit ]]/Table1[[#This Row],[Total Revenue]]</f>
        <v>0.42857142857142855</v>
      </c>
    </row>
    <row r="293" spans="1:17" ht="15.75" thickBot="1" x14ac:dyDescent="0.3">
      <c r="A293" s="10">
        <v>46271</v>
      </c>
      <c r="B293" s="16" t="str">
        <f t="shared" si="24"/>
        <v>6271</v>
      </c>
      <c r="C293" s="16" t="str">
        <f t="shared" si="25"/>
        <v>71</v>
      </c>
      <c r="D293" s="16" t="str">
        <f t="shared" si="26"/>
        <v>Dec</v>
      </c>
      <c r="E293" s="5" t="s">
        <v>80</v>
      </c>
      <c r="F293" s="5" t="s">
        <v>62</v>
      </c>
      <c r="G293" s="8" t="s">
        <v>36</v>
      </c>
      <c r="H293" s="5" t="s">
        <v>12</v>
      </c>
      <c r="I293" s="8" t="s">
        <v>73</v>
      </c>
      <c r="J293" s="9">
        <v>6</v>
      </c>
      <c r="K293" s="8" t="s">
        <v>14</v>
      </c>
      <c r="L293" t="s">
        <v>210</v>
      </c>
      <c r="M293" t="str">
        <f>VLOOKUP(E293,Price!$A$2:$C$9,3,)</f>
        <v>$39.00</v>
      </c>
      <c r="N293">
        <f t="shared" si="27"/>
        <v>456</v>
      </c>
      <c r="O293">
        <f t="shared" si="28"/>
        <v>234</v>
      </c>
      <c r="P293">
        <f t="shared" si="29"/>
        <v>222</v>
      </c>
      <c r="Q293" s="20">
        <f>Table1[[#This Row],[Profit ]]/Table1[[#This Row],[Total Revenue]]</f>
        <v>0.48684210526315791</v>
      </c>
    </row>
    <row r="294" spans="1:17" ht="15.75" thickBot="1" x14ac:dyDescent="0.3">
      <c r="A294" s="11">
        <v>46298</v>
      </c>
      <c r="B294" s="17" t="str">
        <f t="shared" si="24"/>
        <v>6298</v>
      </c>
      <c r="C294" s="17" t="str">
        <f t="shared" si="25"/>
        <v>98</v>
      </c>
      <c r="D294" s="17" t="str">
        <f t="shared" si="26"/>
        <v>Jan</v>
      </c>
      <c r="E294" s="5" t="s">
        <v>72</v>
      </c>
      <c r="F294" s="5" t="s">
        <v>10</v>
      </c>
      <c r="G294" s="5" t="s">
        <v>17</v>
      </c>
      <c r="H294" s="5" t="s">
        <v>138</v>
      </c>
      <c r="I294" s="5" t="s">
        <v>103</v>
      </c>
      <c r="J294" s="6">
        <v>14</v>
      </c>
      <c r="K294" s="5" t="s">
        <v>19</v>
      </c>
      <c r="L294" t="s">
        <v>214</v>
      </c>
      <c r="M294" t="str">
        <f>VLOOKUP(E294,Price!$A$2:$C$9,3,)</f>
        <v>$58.00</v>
      </c>
      <c r="N294">
        <f t="shared" si="27"/>
        <v>1470</v>
      </c>
      <c r="O294">
        <f t="shared" si="28"/>
        <v>812</v>
      </c>
      <c r="P294">
        <f t="shared" si="29"/>
        <v>658</v>
      </c>
      <c r="Q294" s="20">
        <f>Table1[[#This Row],[Profit ]]/Table1[[#This Row],[Total Revenue]]</f>
        <v>0.44761904761904764</v>
      </c>
    </row>
    <row r="295" spans="1:17" ht="15.75" thickBot="1" x14ac:dyDescent="0.3">
      <c r="A295" s="10" t="s">
        <v>158</v>
      </c>
      <c r="B295" s="16" t="str">
        <f t="shared" si="24"/>
        <v>2026</v>
      </c>
      <c r="C295" s="16" t="str">
        <f t="shared" si="25"/>
        <v>15</v>
      </c>
      <c r="D295" s="16" t="str">
        <f t="shared" si="26"/>
        <v>Jan</v>
      </c>
      <c r="E295" s="5" t="s">
        <v>97</v>
      </c>
      <c r="F295" s="5" t="s">
        <v>10</v>
      </c>
      <c r="G295" s="8" t="s">
        <v>11</v>
      </c>
      <c r="H295" s="5" t="s">
        <v>63</v>
      </c>
      <c r="I295" s="8" t="s">
        <v>73</v>
      </c>
      <c r="J295" s="9">
        <v>7</v>
      </c>
      <c r="K295" s="8" t="s">
        <v>42</v>
      </c>
      <c r="L295" t="s">
        <v>206</v>
      </c>
      <c r="M295" t="str">
        <f>VLOOKUP(E295,Price!$A$2:$C$9,3,)</f>
        <v>$28.00</v>
      </c>
      <c r="N295">
        <f t="shared" si="27"/>
        <v>378</v>
      </c>
      <c r="O295">
        <f t="shared" si="28"/>
        <v>196</v>
      </c>
      <c r="P295">
        <f t="shared" si="29"/>
        <v>182</v>
      </c>
      <c r="Q295" s="20">
        <f>Table1[[#This Row],[Profit ]]/Table1[[#This Row],[Total Revenue]]</f>
        <v>0.48148148148148145</v>
      </c>
    </row>
    <row r="296" spans="1:17" ht="15.75" thickBot="1" x14ac:dyDescent="0.3">
      <c r="A296" s="11" t="s">
        <v>173</v>
      </c>
      <c r="B296" s="17" t="str">
        <f t="shared" si="24"/>
        <v>2026</v>
      </c>
      <c r="C296" s="17" t="str">
        <f t="shared" si="25"/>
        <v>20</v>
      </c>
      <c r="D296" s="17" t="str">
        <f t="shared" si="26"/>
        <v>Feb</v>
      </c>
      <c r="E296" s="5" t="s">
        <v>80</v>
      </c>
      <c r="F296" s="5" t="s">
        <v>90</v>
      </c>
      <c r="G296" s="5" t="s">
        <v>11</v>
      </c>
      <c r="H296" s="5" t="s">
        <v>63</v>
      </c>
      <c r="I296" s="5" t="s">
        <v>86</v>
      </c>
      <c r="J296" s="6">
        <v>8</v>
      </c>
      <c r="K296" s="5" t="s">
        <v>50</v>
      </c>
      <c r="L296" t="s">
        <v>210</v>
      </c>
      <c r="M296" t="str">
        <f>VLOOKUP(E296,Price!$A$2:$C$9,3,)</f>
        <v>$39.00</v>
      </c>
      <c r="N296">
        <f t="shared" si="27"/>
        <v>608</v>
      </c>
      <c r="O296">
        <f t="shared" si="28"/>
        <v>312</v>
      </c>
      <c r="P296">
        <f t="shared" si="29"/>
        <v>296</v>
      </c>
      <c r="Q296" s="20">
        <f>Table1[[#This Row],[Profit ]]/Table1[[#This Row],[Total Revenue]]</f>
        <v>0.48684210526315791</v>
      </c>
    </row>
    <row r="297" spans="1:17" ht="15.75" thickBot="1" x14ac:dyDescent="0.3">
      <c r="A297" s="10">
        <v>46147</v>
      </c>
      <c r="B297" s="16" t="str">
        <f t="shared" si="24"/>
        <v>6147</v>
      </c>
      <c r="C297" s="16" t="str">
        <f t="shared" si="25"/>
        <v>47</v>
      </c>
      <c r="D297" s="16" t="str">
        <f t="shared" si="26"/>
        <v>Nov</v>
      </c>
      <c r="E297" s="5" t="s">
        <v>21</v>
      </c>
      <c r="F297" s="5" t="s">
        <v>62</v>
      </c>
      <c r="G297" s="8" t="s">
        <v>11</v>
      </c>
      <c r="H297" s="5" t="s">
        <v>63</v>
      </c>
      <c r="I297" s="8" t="s">
        <v>33</v>
      </c>
      <c r="J297" s="9">
        <v>1</v>
      </c>
      <c r="K297" s="8" t="s">
        <v>50</v>
      </c>
      <c r="L297" t="s">
        <v>208</v>
      </c>
      <c r="M297" t="str">
        <f>VLOOKUP(E297,Price!$A$2:$C$9,3,)</f>
        <v>$14.00</v>
      </c>
      <c r="N297">
        <f t="shared" si="27"/>
        <v>32</v>
      </c>
      <c r="O297">
        <f t="shared" si="28"/>
        <v>14</v>
      </c>
      <c r="P297">
        <f t="shared" si="29"/>
        <v>18</v>
      </c>
      <c r="Q297" s="20">
        <f>Table1[[#This Row],[Profit ]]/Table1[[#This Row],[Total Revenue]]</f>
        <v>0.5625</v>
      </c>
    </row>
    <row r="298" spans="1:17" ht="15.75" thickBot="1" x14ac:dyDescent="0.3">
      <c r="A298" s="11" t="s">
        <v>84</v>
      </c>
      <c r="B298" s="17" t="str">
        <f t="shared" si="24"/>
        <v>2026</v>
      </c>
      <c r="C298" s="17" t="str">
        <f t="shared" si="25"/>
        <v>15</v>
      </c>
      <c r="D298" s="17" t="str">
        <f t="shared" si="26"/>
        <v>Feb</v>
      </c>
      <c r="E298" s="5" t="s">
        <v>97</v>
      </c>
      <c r="F298" s="5" t="s">
        <v>10</v>
      </c>
      <c r="G298" s="5" t="s">
        <v>11</v>
      </c>
      <c r="H298" s="5" t="s">
        <v>52</v>
      </c>
      <c r="I298" s="5" t="s">
        <v>53</v>
      </c>
      <c r="J298" s="6">
        <v>9</v>
      </c>
      <c r="K298" s="5" t="s">
        <v>14</v>
      </c>
      <c r="L298" t="s">
        <v>206</v>
      </c>
      <c r="M298" t="str">
        <f>VLOOKUP(E298,Price!$A$2:$C$9,3,)</f>
        <v>$28.00</v>
      </c>
      <c r="N298">
        <f t="shared" si="27"/>
        <v>486</v>
      </c>
      <c r="O298">
        <f t="shared" si="28"/>
        <v>252</v>
      </c>
      <c r="P298">
        <f t="shared" si="29"/>
        <v>234</v>
      </c>
      <c r="Q298" s="20">
        <f>Table1[[#This Row],[Profit ]]/Table1[[#This Row],[Total Revenue]]</f>
        <v>0.48148148148148145</v>
      </c>
    </row>
    <row r="299" spans="1:17" ht="15.75" thickBot="1" x14ac:dyDescent="0.3">
      <c r="A299" s="10" t="s">
        <v>137</v>
      </c>
      <c r="B299" s="16" t="str">
        <f t="shared" si="24"/>
        <v>2026</v>
      </c>
      <c r="C299" s="16" t="str">
        <f t="shared" si="25"/>
        <v>21</v>
      </c>
      <c r="D299" s="16" t="str">
        <f t="shared" si="26"/>
        <v>May</v>
      </c>
      <c r="E299" s="5" t="s">
        <v>21</v>
      </c>
      <c r="F299" s="5" t="s">
        <v>62</v>
      </c>
      <c r="G299" s="8" t="s">
        <v>11</v>
      </c>
      <c r="H299" s="5" t="s">
        <v>63</v>
      </c>
      <c r="I299" s="8" t="s">
        <v>53</v>
      </c>
      <c r="J299" s="9">
        <v>1</v>
      </c>
      <c r="K299" s="8" t="s">
        <v>42</v>
      </c>
      <c r="L299" t="s">
        <v>208</v>
      </c>
      <c r="M299" t="str">
        <f>VLOOKUP(E299,Price!$A$2:$C$9,3,)</f>
        <v>$14.00</v>
      </c>
      <c r="N299">
        <f t="shared" si="27"/>
        <v>32</v>
      </c>
      <c r="O299">
        <f t="shared" si="28"/>
        <v>14</v>
      </c>
      <c r="P299">
        <f t="shared" si="29"/>
        <v>18</v>
      </c>
      <c r="Q299" s="20">
        <f>Table1[[#This Row],[Profit ]]/Table1[[#This Row],[Total Revenue]]</f>
        <v>0.5625</v>
      </c>
    </row>
    <row r="300" spans="1:17" ht="15.75" thickBot="1" x14ac:dyDescent="0.3">
      <c r="A300" s="11">
        <v>46061</v>
      </c>
      <c r="B300" s="17" t="str">
        <f t="shared" si="24"/>
        <v>6061</v>
      </c>
      <c r="C300" s="17" t="str">
        <f t="shared" si="25"/>
        <v>61</v>
      </c>
      <c r="D300" s="17" t="str">
        <f t="shared" si="26"/>
        <v>Nov</v>
      </c>
      <c r="E300" s="5" t="s">
        <v>97</v>
      </c>
      <c r="F300" s="5" t="s">
        <v>10</v>
      </c>
      <c r="G300" s="5" t="s">
        <v>11</v>
      </c>
      <c r="H300" s="5" t="s">
        <v>12</v>
      </c>
      <c r="I300" s="5" t="s">
        <v>49</v>
      </c>
      <c r="J300" s="6">
        <v>14</v>
      </c>
      <c r="K300" s="5" t="s">
        <v>42</v>
      </c>
      <c r="L300" t="s">
        <v>206</v>
      </c>
      <c r="M300" t="str">
        <f>VLOOKUP(E300,Price!$A$2:$C$9,3,)</f>
        <v>$28.00</v>
      </c>
      <c r="N300">
        <f t="shared" si="27"/>
        <v>756</v>
      </c>
      <c r="O300">
        <f t="shared" si="28"/>
        <v>392</v>
      </c>
      <c r="P300">
        <f t="shared" si="29"/>
        <v>364</v>
      </c>
      <c r="Q300" s="20">
        <f>Table1[[#This Row],[Profit ]]/Table1[[#This Row],[Total Revenue]]</f>
        <v>0.48148148148148145</v>
      </c>
    </row>
    <row r="301" spans="1:17" ht="15.75" thickBot="1" x14ac:dyDescent="0.3">
      <c r="A301" s="10">
        <v>46059</v>
      </c>
      <c r="B301" s="16" t="str">
        <f t="shared" si="24"/>
        <v>6059</v>
      </c>
      <c r="C301" s="16" t="str">
        <f t="shared" si="25"/>
        <v>59</v>
      </c>
      <c r="D301" s="16" t="str">
        <f t="shared" si="26"/>
        <v>Nov</v>
      </c>
      <c r="E301" s="5" t="s">
        <v>118</v>
      </c>
      <c r="F301" s="5" t="s">
        <v>62</v>
      </c>
      <c r="G301" s="8" t="s">
        <v>43</v>
      </c>
      <c r="H301" s="5" t="s">
        <v>138</v>
      </c>
      <c r="I301" s="8" t="s">
        <v>38</v>
      </c>
      <c r="J301" s="9">
        <v>7</v>
      </c>
      <c r="K301" s="8" t="s">
        <v>19</v>
      </c>
      <c r="L301" t="s">
        <v>218</v>
      </c>
      <c r="M301" t="str">
        <f>VLOOKUP(E301,Price!$A$2:$C$9,3,)</f>
        <v>$67.00</v>
      </c>
      <c r="N301">
        <f t="shared" si="27"/>
        <v>833</v>
      </c>
      <c r="O301">
        <f t="shared" si="28"/>
        <v>469</v>
      </c>
      <c r="P301">
        <f t="shared" si="29"/>
        <v>364</v>
      </c>
      <c r="Q301" s="20">
        <f>Table1[[#This Row],[Profit ]]/Table1[[#This Row],[Total Revenue]]</f>
        <v>0.43697478991596639</v>
      </c>
    </row>
    <row r="302" spans="1:17" ht="15.75" thickBot="1" x14ac:dyDescent="0.3">
      <c r="A302" s="11" t="s">
        <v>174</v>
      </c>
      <c r="B302" s="17" t="str">
        <f t="shared" si="24"/>
        <v>2026</v>
      </c>
      <c r="C302" s="17" t="str">
        <f t="shared" si="25"/>
        <v>23</v>
      </c>
      <c r="D302" s="17" t="str">
        <f t="shared" si="26"/>
        <v>Feb</v>
      </c>
      <c r="E302" s="5" t="s">
        <v>80</v>
      </c>
      <c r="F302" s="5" t="s">
        <v>35</v>
      </c>
      <c r="G302" s="5" t="s">
        <v>17</v>
      </c>
      <c r="H302" s="5" t="s">
        <v>52</v>
      </c>
      <c r="I302" s="5" t="s">
        <v>28</v>
      </c>
      <c r="J302" s="6">
        <v>6</v>
      </c>
      <c r="K302" s="5" t="s">
        <v>14</v>
      </c>
      <c r="L302" t="s">
        <v>210</v>
      </c>
      <c r="M302" t="str">
        <f>VLOOKUP(E302,Price!$A$2:$C$9,3,)</f>
        <v>$39.00</v>
      </c>
      <c r="N302">
        <f t="shared" si="27"/>
        <v>456</v>
      </c>
      <c r="O302">
        <f t="shared" si="28"/>
        <v>234</v>
      </c>
      <c r="P302">
        <f t="shared" si="29"/>
        <v>222</v>
      </c>
      <c r="Q302" s="20">
        <f>Table1[[#This Row],[Profit ]]/Table1[[#This Row],[Total Revenue]]</f>
        <v>0.48684210526315791</v>
      </c>
    </row>
    <row r="303" spans="1:17" ht="15.75" thickBot="1" x14ac:dyDescent="0.3">
      <c r="A303" s="10">
        <v>46118</v>
      </c>
      <c r="B303" s="16" t="str">
        <f t="shared" si="24"/>
        <v>6118</v>
      </c>
      <c r="C303" s="16" t="str">
        <f t="shared" si="25"/>
        <v>18</v>
      </c>
      <c r="D303" s="16" t="str">
        <f t="shared" si="26"/>
        <v>Oct</v>
      </c>
      <c r="E303" s="5" t="s">
        <v>97</v>
      </c>
      <c r="F303" s="5" t="s">
        <v>90</v>
      </c>
      <c r="G303" s="8" t="s">
        <v>11</v>
      </c>
      <c r="H303" s="5" t="s">
        <v>52</v>
      </c>
      <c r="I303" s="8" t="s">
        <v>64</v>
      </c>
      <c r="J303" s="9">
        <v>6</v>
      </c>
      <c r="K303" s="8" t="s">
        <v>19</v>
      </c>
      <c r="L303" t="s">
        <v>206</v>
      </c>
      <c r="M303" t="str">
        <f>VLOOKUP(E303,Price!$A$2:$C$9,3,)</f>
        <v>$28.00</v>
      </c>
      <c r="N303">
        <f t="shared" si="27"/>
        <v>324</v>
      </c>
      <c r="O303">
        <f t="shared" si="28"/>
        <v>168</v>
      </c>
      <c r="P303">
        <f t="shared" si="29"/>
        <v>156</v>
      </c>
      <c r="Q303" s="20">
        <f>Table1[[#This Row],[Profit ]]/Table1[[#This Row],[Total Revenue]]</f>
        <v>0.48148148148148145</v>
      </c>
    </row>
    <row r="304" spans="1:17" ht="15.75" thickBot="1" x14ac:dyDescent="0.3">
      <c r="A304" s="11" t="s">
        <v>8</v>
      </c>
      <c r="B304" s="17" t="str">
        <f t="shared" si="24"/>
        <v>2026</v>
      </c>
      <c r="C304" s="17" t="str">
        <f t="shared" si="25"/>
        <v>19</v>
      </c>
      <c r="D304" s="17" t="str">
        <f t="shared" si="26"/>
        <v>May</v>
      </c>
      <c r="E304" s="5" t="s">
        <v>72</v>
      </c>
      <c r="F304" s="5" t="s">
        <v>62</v>
      </c>
      <c r="G304" s="5" t="s">
        <v>11</v>
      </c>
      <c r="H304" s="5" t="s">
        <v>52</v>
      </c>
      <c r="I304" s="5" t="s">
        <v>64</v>
      </c>
      <c r="J304" s="6">
        <v>4</v>
      </c>
      <c r="K304" s="5" t="s">
        <v>14</v>
      </c>
      <c r="L304" t="s">
        <v>214</v>
      </c>
      <c r="M304" t="str">
        <f>VLOOKUP(E304,Price!$A$2:$C$9,3,)</f>
        <v>$58.00</v>
      </c>
      <c r="N304">
        <f t="shared" si="27"/>
        <v>420</v>
      </c>
      <c r="O304">
        <f t="shared" si="28"/>
        <v>232</v>
      </c>
      <c r="P304">
        <f t="shared" si="29"/>
        <v>188</v>
      </c>
      <c r="Q304" s="20">
        <f>Table1[[#This Row],[Profit ]]/Table1[[#This Row],[Total Revenue]]</f>
        <v>0.44761904761904764</v>
      </c>
    </row>
    <row r="305" spans="1:17" ht="15.75" thickBot="1" x14ac:dyDescent="0.3">
      <c r="A305" s="10" t="s">
        <v>102</v>
      </c>
      <c r="B305" s="16" t="str">
        <f t="shared" si="24"/>
        <v>2026</v>
      </c>
      <c r="C305" s="16" t="str">
        <f t="shared" si="25"/>
        <v>27</v>
      </c>
      <c r="D305" s="16" t="str">
        <f t="shared" si="26"/>
        <v>Jun</v>
      </c>
      <c r="E305" s="5" t="s">
        <v>74</v>
      </c>
      <c r="F305" s="5" t="s">
        <v>35</v>
      </c>
      <c r="G305" s="8" t="s">
        <v>36</v>
      </c>
      <c r="H305" s="5" t="s">
        <v>67</v>
      </c>
      <c r="I305" s="8" t="s">
        <v>53</v>
      </c>
      <c r="J305" s="9">
        <v>12</v>
      </c>
      <c r="K305" s="8" t="s">
        <v>42</v>
      </c>
      <c r="L305" t="s">
        <v>204</v>
      </c>
      <c r="M305" t="str">
        <f>VLOOKUP(E305,Price!$A$2:$C$9,3,)</f>
        <v>$47.00</v>
      </c>
      <c r="N305">
        <f t="shared" si="27"/>
        <v>1068</v>
      </c>
      <c r="O305">
        <f t="shared" si="28"/>
        <v>564</v>
      </c>
      <c r="P305">
        <f t="shared" si="29"/>
        <v>504</v>
      </c>
      <c r="Q305" s="20">
        <f>Table1[[#This Row],[Profit ]]/Table1[[#This Row],[Total Revenue]]</f>
        <v>0.47191011235955055</v>
      </c>
    </row>
    <row r="306" spans="1:17" ht="15.75" thickBot="1" x14ac:dyDescent="0.3">
      <c r="A306" s="11">
        <v>46082</v>
      </c>
      <c r="B306" s="17" t="str">
        <f t="shared" si="24"/>
        <v>6082</v>
      </c>
      <c r="C306" s="17" t="str">
        <f t="shared" si="25"/>
        <v>82</v>
      </c>
      <c r="D306" s="17" t="str">
        <f t="shared" si="26"/>
        <v>Dec</v>
      </c>
      <c r="E306" s="5" t="s">
        <v>80</v>
      </c>
      <c r="F306" s="5" t="s">
        <v>10</v>
      </c>
      <c r="G306" s="5" t="s">
        <v>36</v>
      </c>
      <c r="H306" s="5" t="s">
        <v>52</v>
      </c>
      <c r="I306" s="5" t="s">
        <v>41</v>
      </c>
      <c r="J306" s="6">
        <v>13</v>
      </c>
      <c r="K306" s="5" t="s">
        <v>19</v>
      </c>
      <c r="L306" t="s">
        <v>210</v>
      </c>
      <c r="M306" t="str">
        <f>VLOOKUP(E306,Price!$A$2:$C$9,3,)</f>
        <v>$39.00</v>
      </c>
      <c r="N306">
        <f t="shared" si="27"/>
        <v>988</v>
      </c>
      <c r="O306">
        <f t="shared" si="28"/>
        <v>507</v>
      </c>
      <c r="P306">
        <f t="shared" si="29"/>
        <v>481</v>
      </c>
      <c r="Q306" s="20">
        <f>Table1[[#This Row],[Profit ]]/Table1[[#This Row],[Total Revenue]]</f>
        <v>0.48684210526315791</v>
      </c>
    </row>
    <row r="307" spans="1:17" ht="15.75" thickBot="1" x14ac:dyDescent="0.3">
      <c r="A307" s="10">
        <v>46059</v>
      </c>
      <c r="B307" s="16" t="str">
        <f t="shared" si="24"/>
        <v>6059</v>
      </c>
      <c r="C307" s="16" t="str">
        <f t="shared" si="25"/>
        <v>59</v>
      </c>
      <c r="D307" s="16" t="str">
        <f t="shared" si="26"/>
        <v>Nov</v>
      </c>
      <c r="E307" s="5" t="s">
        <v>97</v>
      </c>
      <c r="F307" s="5" t="s">
        <v>10</v>
      </c>
      <c r="G307" s="8" t="s">
        <v>11</v>
      </c>
      <c r="H307" s="5" t="s">
        <v>63</v>
      </c>
      <c r="I307" s="8" t="s">
        <v>53</v>
      </c>
      <c r="J307" s="9">
        <v>6</v>
      </c>
      <c r="K307" s="8" t="s">
        <v>42</v>
      </c>
      <c r="L307" t="s">
        <v>206</v>
      </c>
      <c r="M307" t="str">
        <f>VLOOKUP(E307,Price!$A$2:$C$9,3,)</f>
        <v>$28.00</v>
      </c>
      <c r="N307">
        <f t="shared" si="27"/>
        <v>324</v>
      </c>
      <c r="O307">
        <f t="shared" si="28"/>
        <v>168</v>
      </c>
      <c r="P307">
        <f t="shared" si="29"/>
        <v>156</v>
      </c>
      <c r="Q307" s="20">
        <f>Table1[[#This Row],[Profit ]]/Table1[[#This Row],[Total Revenue]]</f>
        <v>0.48148148148148145</v>
      </c>
    </row>
    <row r="308" spans="1:17" ht="15.75" thickBot="1" x14ac:dyDescent="0.3">
      <c r="A308" s="11" t="s">
        <v>96</v>
      </c>
      <c r="B308" s="17" t="str">
        <f t="shared" si="24"/>
        <v>2026</v>
      </c>
      <c r="C308" s="17" t="str">
        <f t="shared" si="25"/>
        <v>15</v>
      </c>
      <c r="D308" s="17" t="str">
        <f t="shared" si="26"/>
        <v>Apr</v>
      </c>
      <c r="E308" s="5" t="s">
        <v>140</v>
      </c>
      <c r="F308" s="5" t="s">
        <v>10</v>
      </c>
      <c r="G308" s="5" t="s">
        <v>23</v>
      </c>
      <c r="H308" s="5" t="s">
        <v>12</v>
      </c>
      <c r="I308" s="5" t="s">
        <v>103</v>
      </c>
      <c r="J308" s="6">
        <v>13</v>
      </c>
      <c r="K308" s="5" t="s">
        <v>19</v>
      </c>
      <c r="L308" t="s">
        <v>216</v>
      </c>
      <c r="M308" t="str">
        <f>VLOOKUP(E308,Price!$A$2:$C$9,3,)</f>
        <v>$64.00</v>
      </c>
      <c r="N308">
        <f t="shared" si="27"/>
        <v>1456</v>
      </c>
      <c r="O308">
        <f t="shared" si="28"/>
        <v>832</v>
      </c>
      <c r="P308">
        <f t="shared" si="29"/>
        <v>624</v>
      </c>
      <c r="Q308" s="20">
        <f>Table1[[#This Row],[Profit ]]/Table1[[#This Row],[Total Revenue]]</f>
        <v>0.42857142857142855</v>
      </c>
    </row>
    <row r="309" spans="1:17" ht="15.75" thickBot="1" x14ac:dyDescent="0.3">
      <c r="A309" s="10">
        <v>46238</v>
      </c>
      <c r="B309" s="16" t="str">
        <f t="shared" si="24"/>
        <v>6238</v>
      </c>
      <c r="C309" s="16" t="str">
        <f t="shared" si="25"/>
        <v>38</v>
      </c>
      <c r="D309" s="16" t="str">
        <f t="shared" si="26"/>
        <v>Nov</v>
      </c>
      <c r="E309" s="5" t="s">
        <v>74</v>
      </c>
      <c r="F309" s="5" t="s">
        <v>10</v>
      </c>
      <c r="G309" s="8" t="s">
        <v>36</v>
      </c>
      <c r="H309" s="5" t="s">
        <v>12</v>
      </c>
      <c r="I309" s="8" t="s">
        <v>49</v>
      </c>
      <c r="J309" s="9">
        <v>5</v>
      </c>
      <c r="K309" s="8" t="s">
        <v>42</v>
      </c>
      <c r="L309" t="s">
        <v>204</v>
      </c>
      <c r="M309" t="str">
        <f>VLOOKUP(E309,Price!$A$2:$C$9,3,)</f>
        <v>$47.00</v>
      </c>
      <c r="N309">
        <f t="shared" si="27"/>
        <v>445</v>
      </c>
      <c r="O309">
        <f t="shared" si="28"/>
        <v>235</v>
      </c>
      <c r="P309">
        <f t="shared" si="29"/>
        <v>210</v>
      </c>
      <c r="Q309" s="20">
        <f>Table1[[#This Row],[Profit ]]/Table1[[#This Row],[Total Revenue]]</f>
        <v>0.47191011235955055</v>
      </c>
    </row>
    <row r="310" spans="1:17" ht="15.75" thickBot="1" x14ac:dyDescent="0.3">
      <c r="A310" s="11">
        <v>46208</v>
      </c>
      <c r="B310" s="17" t="str">
        <f t="shared" si="24"/>
        <v>6208</v>
      </c>
      <c r="C310" s="17" t="str">
        <f t="shared" si="25"/>
        <v>08</v>
      </c>
      <c r="D310" s="17" t="str">
        <f t="shared" si="26"/>
        <v>Oct</v>
      </c>
      <c r="E310" s="5" t="s">
        <v>97</v>
      </c>
      <c r="F310" s="5" t="s">
        <v>62</v>
      </c>
      <c r="G310" s="5" t="s">
        <v>43</v>
      </c>
      <c r="H310" s="5" t="s">
        <v>63</v>
      </c>
      <c r="I310" s="5" t="s">
        <v>25</v>
      </c>
      <c r="J310" s="6">
        <v>2</v>
      </c>
      <c r="K310" s="5" t="s">
        <v>19</v>
      </c>
      <c r="L310" t="s">
        <v>206</v>
      </c>
      <c r="M310" t="str">
        <f>VLOOKUP(E310,Price!$A$2:$C$9,3,)</f>
        <v>$28.00</v>
      </c>
      <c r="N310">
        <f t="shared" si="27"/>
        <v>108</v>
      </c>
      <c r="O310">
        <f t="shared" si="28"/>
        <v>56</v>
      </c>
      <c r="P310">
        <f t="shared" si="29"/>
        <v>52</v>
      </c>
      <c r="Q310" s="20">
        <f>Table1[[#This Row],[Profit ]]/Table1[[#This Row],[Total Revenue]]</f>
        <v>0.48148148148148145</v>
      </c>
    </row>
    <row r="311" spans="1:17" ht="15.75" thickBot="1" x14ac:dyDescent="0.3">
      <c r="A311" s="10" t="s">
        <v>160</v>
      </c>
      <c r="B311" s="16" t="str">
        <f t="shared" si="24"/>
        <v>2026</v>
      </c>
      <c r="C311" s="16" t="str">
        <f t="shared" si="25"/>
        <v>29</v>
      </c>
      <c r="D311" s="16" t="str">
        <f t="shared" si="26"/>
        <v>May</v>
      </c>
      <c r="E311" s="5" t="s">
        <v>140</v>
      </c>
      <c r="F311" s="5" t="s">
        <v>90</v>
      </c>
      <c r="G311" s="8" t="s">
        <v>11</v>
      </c>
      <c r="H311" s="5" t="s">
        <v>138</v>
      </c>
      <c r="I311" s="8" t="s">
        <v>49</v>
      </c>
      <c r="J311" s="9">
        <v>7</v>
      </c>
      <c r="K311" s="8" t="s">
        <v>19</v>
      </c>
      <c r="L311" t="s">
        <v>216</v>
      </c>
      <c r="M311" t="str">
        <f>VLOOKUP(E311,Price!$A$2:$C$9,3,)</f>
        <v>$64.00</v>
      </c>
      <c r="N311">
        <f t="shared" si="27"/>
        <v>784</v>
      </c>
      <c r="O311">
        <f t="shared" si="28"/>
        <v>448</v>
      </c>
      <c r="P311">
        <f t="shared" si="29"/>
        <v>336</v>
      </c>
      <c r="Q311" s="20">
        <f>Table1[[#This Row],[Profit ]]/Table1[[#This Row],[Total Revenue]]</f>
        <v>0.42857142857142855</v>
      </c>
    </row>
    <row r="312" spans="1:17" ht="15.75" thickBot="1" x14ac:dyDescent="0.3">
      <c r="A312" s="11" t="s">
        <v>71</v>
      </c>
      <c r="B312" s="17" t="str">
        <f t="shared" si="24"/>
        <v>2026</v>
      </c>
      <c r="C312" s="17" t="str">
        <f t="shared" si="25"/>
        <v>31</v>
      </c>
      <c r="D312" s="17" t="str">
        <f t="shared" si="26"/>
        <v>Mar</v>
      </c>
      <c r="E312" s="5" t="s">
        <v>74</v>
      </c>
      <c r="F312" s="5" t="s">
        <v>62</v>
      </c>
      <c r="G312" s="5" t="s">
        <v>36</v>
      </c>
      <c r="H312" s="5" t="s">
        <v>12</v>
      </c>
      <c r="I312" s="5" t="s">
        <v>53</v>
      </c>
      <c r="J312" s="6">
        <v>9</v>
      </c>
      <c r="K312" s="5" t="s">
        <v>42</v>
      </c>
      <c r="L312" t="s">
        <v>204</v>
      </c>
      <c r="M312" t="str">
        <f>VLOOKUP(E312,Price!$A$2:$C$9,3,)</f>
        <v>$47.00</v>
      </c>
      <c r="N312">
        <f t="shared" si="27"/>
        <v>801</v>
      </c>
      <c r="O312">
        <f t="shared" si="28"/>
        <v>423</v>
      </c>
      <c r="P312">
        <f t="shared" si="29"/>
        <v>378</v>
      </c>
      <c r="Q312" s="20">
        <f>Table1[[#This Row],[Profit ]]/Table1[[#This Row],[Total Revenue]]</f>
        <v>0.47191011235955055</v>
      </c>
    </row>
    <row r="313" spans="1:17" ht="15.75" thickBot="1" x14ac:dyDescent="0.3">
      <c r="A313" s="10">
        <v>46058</v>
      </c>
      <c r="B313" s="16" t="str">
        <f t="shared" si="24"/>
        <v>6058</v>
      </c>
      <c r="C313" s="16" t="str">
        <f t="shared" si="25"/>
        <v>58</v>
      </c>
      <c r="D313" s="16" t="str">
        <f t="shared" si="26"/>
        <v>Nov</v>
      </c>
      <c r="E313" s="5" t="s">
        <v>74</v>
      </c>
      <c r="F313" s="5" t="s">
        <v>10</v>
      </c>
      <c r="G313" s="8" t="s">
        <v>23</v>
      </c>
      <c r="H313" s="5" t="s">
        <v>63</v>
      </c>
      <c r="I313" s="8" t="s">
        <v>13</v>
      </c>
      <c r="J313" s="9">
        <v>6</v>
      </c>
      <c r="K313" s="8" t="s">
        <v>14</v>
      </c>
      <c r="L313" t="s">
        <v>204</v>
      </c>
      <c r="M313" t="str">
        <f>VLOOKUP(E313,Price!$A$2:$C$9,3,)</f>
        <v>$47.00</v>
      </c>
      <c r="N313">
        <f t="shared" si="27"/>
        <v>534</v>
      </c>
      <c r="O313">
        <f t="shared" si="28"/>
        <v>282</v>
      </c>
      <c r="P313">
        <f t="shared" si="29"/>
        <v>252</v>
      </c>
      <c r="Q313" s="20">
        <f>Table1[[#This Row],[Profit ]]/Table1[[#This Row],[Total Revenue]]</f>
        <v>0.47191011235955055</v>
      </c>
    </row>
    <row r="314" spans="1:17" ht="15.75" thickBot="1" x14ac:dyDescent="0.3">
      <c r="A314" s="11" t="s">
        <v>82</v>
      </c>
      <c r="B314" s="17" t="str">
        <f t="shared" si="24"/>
        <v>2026</v>
      </c>
      <c r="C314" s="17" t="str">
        <f t="shared" si="25"/>
        <v>30</v>
      </c>
      <c r="D314" s="17" t="str">
        <f t="shared" si="26"/>
        <v>Apr</v>
      </c>
      <c r="E314" s="5" t="s">
        <v>140</v>
      </c>
      <c r="F314" s="5" t="s">
        <v>90</v>
      </c>
      <c r="G314" s="5" t="s">
        <v>17</v>
      </c>
      <c r="H314" s="5" t="s">
        <v>138</v>
      </c>
      <c r="I314" s="5" t="s">
        <v>103</v>
      </c>
      <c r="J314" s="6">
        <v>10</v>
      </c>
      <c r="K314" s="5" t="s">
        <v>50</v>
      </c>
      <c r="L314" t="s">
        <v>216</v>
      </c>
      <c r="M314" t="str">
        <f>VLOOKUP(E314,Price!$A$2:$C$9,3,)</f>
        <v>$64.00</v>
      </c>
      <c r="N314">
        <f t="shared" si="27"/>
        <v>1120</v>
      </c>
      <c r="O314">
        <f t="shared" si="28"/>
        <v>640</v>
      </c>
      <c r="P314">
        <f t="shared" si="29"/>
        <v>480</v>
      </c>
      <c r="Q314" s="20">
        <f>Table1[[#This Row],[Profit ]]/Table1[[#This Row],[Total Revenue]]</f>
        <v>0.42857142857142855</v>
      </c>
    </row>
    <row r="315" spans="1:17" ht="15.75" thickBot="1" x14ac:dyDescent="0.3">
      <c r="A315" s="10" t="s">
        <v>151</v>
      </c>
      <c r="B315" s="16" t="str">
        <f t="shared" si="24"/>
        <v>2026</v>
      </c>
      <c r="C315" s="16" t="str">
        <f t="shared" si="25"/>
        <v>18</v>
      </c>
      <c r="D315" s="16" t="str">
        <f t="shared" si="26"/>
        <v>Jul</v>
      </c>
      <c r="E315" s="5" t="s">
        <v>21</v>
      </c>
      <c r="F315" s="5" t="s">
        <v>90</v>
      </c>
      <c r="G315" s="8" t="s">
        <v>43</v>
      </c>
      <c r="H315" s="5" t="s">
        <v>138</v>
      </c>
      <c r="I315" s="8" t="s">
        <v>86</v>
      </c>
      <c r="J315" s="9">
        <v>1</v>
      </c>
      <c r="K315" s="8" t="s">
        <v>19</v>
      </c>
      <c r="L315" t="s">
        <v>208</v>
      </c>
      <c r="M315" t="str">
        <f>VLOOKUP(E315,Price!$A$2:$C$9,3,)</f>
        <v>$14.00</v>
      </c>
      <c r="N315">
        <f t="shared" si="27"/>
        <v>32</v>
      </c>
      <c r="O315">
        <f t="shared" si="28"/>
        <v>14</v>
      </c>
      <c r="P315">
        <f t="shared" si="29"/>
        <v>18</v>
      </c>
      <c r="Q315" s="20">
        <f>Table1[[#This Row],[Profit ]]/Table1[[#This Row],[Total Revenue]]</f>
        <v>0.5625</v>
      </c>
    </row>
    <row r="316" spans="1:17" ht="15.75" thickBot="1" x14ac:dyDescent="0.3">
      <c r="A316" s="11">
        <v>46300</v>
      </c>
      <c r="B316" s="17" t="str">
        <f t="shared" si="24"/>
        <v>6300</v>
      </c>
      <c r="C316" s="17" t="str">
        <f t="shared" si="25"/>
        <v>00</v>
      </c>
      <c r="D316" s="17" t="str">
        <f t="shared" si="26"/>
        <v>Sep</v>
      </c>
      <c r="E316" s="5" t="s">
        <v>72</v>
      </c>
      <c r="F316" s="5" t="s">
        <v>62</v>
      </c>
      <c r="G316" s="5" t="s">
        <v>43</v>
      </c>
      <c r="H316" s="5" t="s">
        <v>63</v>
      </c>
      <c r="I316" s="5" t="s">
        <v>13</v>
      </c>
      <c r="J316" s="6">
        <v>13</v>
      </c>
      <c r="K316" s="5" t="s">
        <v>42</v>
      </c>
      <c r="L316" t="s">
        <v>214</v>
      </c>
      <c r="M316" t="str">
        <f>VLOOKUP(E316,Price!$A$2:$C$9,3,)</f>
        <v>$58.00</v>
      </c>
      <c r="N316">
        <f t="shared" si="27"/>
        <v>1365</v>
      </c>
      <c r="O316">
        <f t="shared" si="28"/>
        <v>754</v>
      </c>
      <c r="P316">
        <f t="shared" si="29"/>
        <v>611</v>
      </c>
      <c r="Q316" s="20">
        <f>Table1[[#This Row],[Profit ]]/Table1[[#This Row],[Total Revenue]]</f>
        <v>0.44761904761904764</v>
      </c>
    </row>
    <row r="317" spans="1:17" ht="15.75" thickBot="1" x14ac:dyDescent="0.3">
      <c r="A317" s="10" t="s">
        <v>175</v>
      </c>
      <c r="B317" s="16" t="str">
        <f t="shared" si="24"/>
        <v>2026</v>
      </c>
      <c r="C317" s="16" t="str">
        <f t="shared" si="25"/>
        <v>17</v>
      </c>
      <c r="D317" s="16" t="str">
        <f t="shared" si="26"/>
        <v>Feb</v>
      </c>
      <c r="E317" s="5" t="s">
        <v>97</v>
      </c>
      <c r="F317" s="5" t="s">
        <v>10</v>
      </c>
      <c r="G317" s="8" t="s">
        <v>43</v>
      </c>
      <c r="H317" s="5" t="s">
        <v>52</v>
      </c>
      <c r="I317" s="8" t="s">
        <v>38</v>
      </c>
      <c r="J317" s="9">
        <v>9</v>
      </c>
      <c r="K317" s="8" t="s">
        <v>42</v>
      </c>
      <c r="L317" t="s">
        <v>206</v>
      </c>
      <c r="M317" t="str">
        <f>VLOOKUP(E317,Price!$A$2:$C$9,3,)</f>
        <v>$28.00</v>
      </c>
      <c r="N317">
        <f t="shared" si="27"/>
        <v>486</v>
      </c>
      <c r="O317">
        <f t="shared" si="28"/>
        <v>252</v>
      </c>
      <c r="P317">
        <f t="shared" si="29"/>
        <v>234</v>
      </c>
      <c r="Q317" s="20">
        <f>Table1[[#This Row],[Profit ]]/Table1[[#This Row],[Total Revenue]]</f>
        <v>0.48148148148148145</v>
      </c>
    </row>
    <row r="318" spans="1:17" ht="15.75" thickBot="1" x14ac:dyDescent="0.3">
      <c r="A318" s="11">
        <v>46148</v>
      </c>
      <c r="B318" s="17" t="str">
        <f t="shared" si="24"/>
        <v>6148</v>
      </c>
      <c r="C318" s="17" t="str">
        <f t="shared" si="25"/>
        <v>48</v>
      </c>
      <c r="D318" s="17" t="str">
        <f t="shared" si="26"/>
        <v>Nov</v>
      </c>
      <c r="E318" s="5" t="s">
        <v>118</v>
      </c>
      <c r="F318" s="5" t="s">
        <v>62</v>
      </c>
      <c r="G318" s="5" t="s">
        <v>23</v>
      </c>
      <c r="H318" s="5" t="s">
        <v>52</v>
      </c>
      <c r="I318" s="5" t="s">
        <v>28</v>
      </c>
      <c r="J318" s="6">
        <v>15</v>
      </c>
      <c r="K318" s="5" t="s">
        <v>42</v>
      </c>
      <c r="L318" t="s">
        <v>218</v>
      </c>
      <c r="M318" t="str">
        <f>VLOOKUP(E318,Price!$A$2:$C$9,3,)</f>
        <v>$67.00</v>
      </c>
      <c r="N318">
        <f t="shared" si="27"/>
        <v>1785</v>
      </c>
      <c r="O318">
        <f t="shared" si="28"/>
        <v>1005</v>
      </c>
      <c r="P318">
        <f t="shared" si="29"/>
        <v>780</v>
      </c>
      <c r="Q318" s="20">
        <f>Table1[[#This Row],[Profit ]]/Table1[[#This Row],[Total Revenue]]</f>
        <v>0.43697478991596639</v>
      </c>
    </row>
    <row r="319" spans="1:17" ht="15.75" thickBot="1" x14ac:dyDescent="0.3">
      <c r="A319" s="10" t="s">
        <v>152</v>
      </c>
      <c r="B319" s="16" t="str">
        <f t="shared" si="24"/>
        <v>2026</v>
      </c>
      <c r="C319" s="16" t="str">
        <f t="shared" si="25"/>
        <v>25</v>
      </c>
      <c r="D319" s="16" t="str">
        <f t="shared" si="26"/>
        <v>Jan</v>
      </c>
      <c r="E319" s="5" t="s">
        <v>34</v>
      </c>
      <c r="F319" s="5" t="s">
        <v>90</v>
      </c>
      <c r="G319" s="8" t="s">
        <v>11</v>
      </c>
      <c r="H319" s="5" t="s">
        <v>63</v>
      </c>
      <c r="I319" s="8" t="s">
        <v>38</v>
      </c>
      <c r="J319" s="9">
        <v>14</v>
      </c>
      <c r="K319" s="8" t="s">
        <v>19</v>
      </c>
      <c r="L319" t="s">
        <v>212</v>
      </c>
      <c r="M319" t="str">
        <f>VLOOKUP(E319,Price!$A$2:$C$9,3,)</f>
        <v>$72.00</v>
      </c>
      <c r="N319">
        <f t="shared" si="27"/>
        <v>1792</v>
      </c>
      <c r="O319">
        <f t="shared" si="28"/>
        <v>1008</v>
      </c>
      <c r="P319">
        <f t="shared" si="29"/>
        <v>784</v>
      </c>
      <c r="Q319" s="20">
        <f>Table1[[#This Row],[Profit ]]/Table1[[#This Row],[Total Revenue]]</f>
        <v>0.4375</v>
      </c>
    </row>
    <row r="320" spans="1:17" ht="15.75" thickBot="1" x14ac:dyDescent="0.3">
      <c r="A320" s="11">
        <v>46270</v>
      </c>
      <c r="B320" s="17" t="str">
        <f t="shared" si="24"/>
        <v>6270</v>
      </c>
      <c r="C320" s="17" t="str">
        <f t="shared" si="25"/>
        <v>70</v>
      </c>
      <c r="D320" s="17" t="str">
        <f t="shared" si="26"/>
        <v>Dec</v>
      </c>
      <c r="E320" s="5" t="s">
        <v>74</v>
      </c>
      <c r="F320" s="5" t="s">
        <v>90</v>
      </c>
      <c r="G320" s="5" t="s">
        <v>36</v>
      </c>
      <c r="H320" s="5" t="s">
        <v>52</v>
      </c>
      <c r="I320" s="5" t="s">
        <v>41</v>
      </c>
      <c r="J320" s="6">
        <v>15</v>
      </c>
      <c r="K320" s="5" t="s">
        <v>19</v>
      </c>
      <c r="L320" t="s">
        <v>204</v>
      </c>
      <c r="M320" t="str">
        <f>VLOOKUP(E320,Price!$A$2:$C$9,3,)</f>
        <v>$47.00</v>
      </c>
      <c r="N320">
        <f t="shared" si="27"/>
        <v>1335</v>
      </c>
      <c r="O320">
        <f t="shared" si="28"/>
        <v>705</v>
      </c>
      <c r="P320">
        <f t="shared" si="29"/>
        <v>630</v>
      </c>
      <c r="Q320" s="20">
        <f>Table1[[#This Row],[Profit ]]/Table1[[#This Row],[Total Revenue]]</f>
        <v>0.47191011235955055</v>
      </c>
    </row>
    <row r="321" spans="1:17" ht="15.75" thickBot="1" x14ac:dyDescent="0.3">
      <c r="A321" s="10" t="s">
        <v>176</v>
      </c>
      <c r="B321" s="16" t="str">
        <f t="shared" si="24"/>
        <v>2026</v>
      </c>
      <c r="C321" s="16" t="str">
        <f t="shared" si="25"/>
        <v>22</v>
      </c>
      <c r="D321" s="16" t="str">
        <f t="shared" si="26"/>
        <v>Mar</v>
      </c>
      <c r="E321" s="5" t="s">
        <v>72</v>
      </c>
      <c r="F321" s="5" t="s">
        <v>10</v>
      </c>
      <c r="G321" s="8" t="s">
        <v>23</v>
      </c>
      <c r="H321" s="5" t="s">
        <v>52</v>
      </c>
      <c r="I321" s="8" t="s">
        <v>41</v>
      </c>
      <c r="J321" s="9">
        <v>14</v>
      </c>
      <c r="K321" s="8" t="s">
        <v>19</v>
      </c>
      <c r="L321" t="s">
        <v>214</v>
      </c>
      <c r="M321" t="str">
        <f>VLOOKUP(E321,Price!$A$2:$C$9,3,)</f>
        <v>$58.00</v>
      </c>
      <c r="N321">
        <f t="shared" si="27"/>
        <v>1470</v>
      </c>
      <c r="O321">
        <f t="shared" si="28"/>
        <v>812</v>
      </c>
      <c r="P321">
        <f t="shared" si="29"/>
        <v>658</v>
      </c>
      <c r="Q321" s="20">
        <f>Table1[[#This Row],[Profit ]]/Table1[[#This Row],[Total Revenue]]</f>
        <v>0.44761904761904764</v>
      </c>
    </row>
    <row r="322" spans="1:17" ht="15.75" thickBot="1" x14ac:dyDescent="0.3">
      <c r="A322" s="11" t="s">
        <v>177</v>
      </c>
      <c r="B322" s="17" t="str">
        <f t="shared" ref="B322:B385" si="30">RIGHT(TRIM(A322), 4)</f>
        <v>2026</v>
      </c>
      <c r="C322" s="17" t="str">
        <f t="shared" ref="C322:C385" si="31">MID(TRIM(A322), 4, 2)</f>
        <v>19</v>
      </c>
      <c r="D322" s="17" t="str">
        <f t="shared" ref="D322:D385" si="32">TEXT(DATE(RIGHT(TRIM(A322), 4), LEFT(TRIM(A322), 2), MID(TRIM(A322), 4, 2)), "mmm")</f>
        <v>Jun</v>
      </c>
      <c r="E322" s="5" t="s">
        <v>118</v>
      </c>
      <c r="F322" s="5" t="s">
        <v>62</v>
      </c>
      <c r="G322" s="5" t="s">
        <v>36</v>
      </c>
      <c r="H322" s="5" t="s">
        <v>52</v>
      </c>
      <c r="I322" s="5" t="s">
        <v>86</v>
      </c>
      <c r="J322" s="6">
        <v>6</v>
      </c>
      <c r="K322" s="5" t="s">
        <v>42</v>
      </c>
      <c r="L322" t="s">
        <v>218</v>
      </c>
      <c r="M322" t="str">
        <f>VLOOKUP(E322,Price!$A$2:$C$9,3,)</f>
        <v>$67.00</v>
      </c>
      <c r="N322">
        <f t="shared" si="27"/>
        <v>714</v>
      </c>
      <c r="O322">
        <f t="shared" si="28"/>
        <v>402</v>
      </c>
      <c r="P322">
        <f t="shared" si="29"/>
        <v>312</v>
      </c>
      <c r="Q322" s="20">
        <f>Table1[[#This Row],[Profit ]]/Table1[[#This Row],[Total Revenue]]</f>
        <v>0.43697478991596639</v>
      </c>
    </row>
    <row r="323" spans="1:17" ht="15.75" thickBot="1" x14ac:dyDescent="0.3">
      <c r="A323" s="10" t="s">
        <v>158</v>
      </c>
      <c r="B323" s="16" t="str">
        <f t="shared" si="30"/>
        <v>2026</v>
      </c>
      <c r="C323" s="16" t="str">
        <f t="shared" si="31"/>
        <v>15</v>
      </c>
      <c r="D323" s="16" t="str">
        <f t="shared" si="32"/>
        <v>Jan</v>
      </c>
      <c r="E323" s="5" t="s">
        <v>97</v>
      </c>
      <c r="F323" s="5" t="s">
        <v>35</v>
      </c>
      <c r="G323" s="8" t="s">
        <v>11</v>
      </c>
      <c r="H323" s="5" t="s">
        <v>12</v>
      </c>
      <c r="I323" s="8" t="s">
        <v>33</v>
      </c>
      <c r="J323" s="9">
        <v>15</v>
      </c>
      <c r="K323" s="8" t="s">
        <v>50</v>
      </c>
      <c r="L323" t="s">
        <v>206</v>
      </c>
      <c r="M323" t="str">
        <f>VLOOKUP(E323,Price!$A$2:$C$9,3,)</f>
        <v>$28.00</v>
      </c>
      <c r="N323">
        <f t="shared" ref="N323:N386" si="33">J323 * VALUE(SUBSTITUTE(L323,"$",""))</f>
        <v>810</v>
      </c>
      <c r="O323">
        <f t="shared" ref="O323:O386" si="34">J323*VALUE(SUBSTITUTE(M323,"$",""))</f>
        <v>420</v>
      </c>
      <c r="P323">
        <f t="shared" ref="P323:P386" si="35">N323-O323</f>
        <v>390</v>
      </c>
      <c r="Q323" s="20">
        <f>Table1[[#This Row],[Profit ]]/Table1[[#This Row],[Total Revenue]]</f>
        <v>0.48148148148148145</v>
      </c>
    </row>
    <row r="324" spans="1:17" ht="15.75" thickBot="1" x14ac:dyDescent="0.3">
      <c r="A324" s="11">
        <v>46237</v>
      </c>
      <c r="B324" s="17" t="str">
        <f t="shared" si="30"/>
        <v>6237</v>
      </c>
      <c r="C324" s="17" t="str">
        <f t="shared" si="31"/>
        <v>37</v>
      </c>
      <c r="D324" s="17" t="str">
        <f t="shared" si="32"/>
        <v>Nov</v>
      </c>
      <c r="E324" s="5" t="s">
        <v>80</v>
      </c>
      <c r="F324" s="5" t="s">
        <v>90</v>
      </c>
      <c r="G324" s="5" t="s">
        <v>17</v>
      </c>
      <c r="H324" s="5" t="s">
        <v>67</v>
      </c>
      <c r="I324" s="5" t="s">
        <v>86</v>
      </c>
      <c r="J324" s="6">
        <v>6</v>
      </c>
      <c r="K324" s="5" t="s">
        <v>14</v>
      </c>
      <c r="L324" t="s">
        <v>210</v>
      </c>
      <c r="M324" t="str">
        <f>VLOOKUP(E324,Price!$A$2:$C$9,3,)</f>
        <v>$39.00</v>
      </c>
      <c r="N324">
        <f t="shared" si="33"/>
        <v>456</v>
      </c>
      <c r="O324">
        <f t="shared" si="34"/>
        <v>234</v>
      </c>
      <c r="P324">
        <f t="shared" si="35"/>
        <v>222</v>
      </c>
      <c r="Q324" s="20">
        <f>Table1[[#This Row],[Profit ]]/Table1[[#This Row],[Total Revenue]]</f>
        <v>0.48684210526315791</v>
      </c>
    </row>
    <row r="325" spans="1:17" ht="15.75" thickBot="1" x14ac:dyDescent="0.3">
      <c r="A325" s="10" t="s">
        <v>178</v>
      </c>
      <c r="B325" s="16" t="str">
        <f t="shared" si="30"/>
        <v>2026</v>
      </c>
      <c r="C325" s="16" t="str">
        <f t="shared" si="31"/>
        <v>15</v>
      </c>
      <c r="D325" s="16" t="str">
        <f t="shared" si="32"/>
        <v>Mar</v>
      </c>
      <c r="E325" s="5" t="s">
        <v>34</v>
      </c>
      <c r="F325" s="5" t="s">
        <v>62</v>
      </c>
      <c r="G325" s="8" t="s">
        <v>43</v>
      </c>
      <c r="H325" s="5" t="s">
        <v>63</v>
      </c>
      <c r="I325" s="8" t="s">
        <v>41</v>
      </c>
      <c r="J325" s="9">
        <v>10</v>
      </c>
      <c r="K325" s="8" t="s">
        <v>14</v>
      </c>
      <c r="L325" t="s">
        <v>212</v>
      </c>
      <c r="M325" t="str">
        <f>VLOOKUP(E325,Price!$A$2:$C$9,3,)</f>
        <v>$72.00</v>
      </c>
      <c r="N325">
        <f t="shared" si="33"/>
        <v>1280</v>
      </c>
      <c r="O325">
        <f t="shared" si="34"/>
        <v>720</v>
      </c>
      <c r="P325">
        <f t="shared" si="35"/>
        <v>560</v>
      </c>
      <c r="Q325" s="20">
        <f>Table1[[#This Row],[Profit ]]/Table1[[#This Row],[Total Revenue]]</f>
        <v>0.4375</v>
      </c>
    </row>
    <row r="326" spans="1:17" ht="15.75" thickBot="1" x14ac:dyDescent="0.3">
      <c r="A326" s="11">
        <v>46360</v>
      </c>
      <c r="B326" s="17" t="str">
        <f t="shared" si="30"/>
        <v>6360</v>
      </c>
      <c r="C326" s="17" t="str">
        <f t="shared" si="31"/>
        <v>60</v>
      </c>
      <c r="D326" s="17" t="str">
        <f t="shared" si="32"/>
        <v>Nov</v>
      </c>
      <c r="E326" s="5" t="s">
        <v>72</v>
      </c>
      <c r="F326" s="5" t="s">
        <v>62</v>
      </c>
      <c r="G326" s="5" t="s">
        <v>36</v>
      </c>
      <c r="H326" s="5" t="s">
        <v>52</v>
      </c>
      <c r="I326" s="5" t="s">
        <v>56</v>
      </c>
      <c r="J326" s="6">
        <v>4</v>
      </c>
      <c r="K326" s="5" t="s">
        <v>19</v>
      </c>
      <c r="L326" t="s">
        <v>214</v>
      </c>
      <c r="M326" t="str">
        <f>VLOOKUP(E326,Price!$A$2:$C$9,3,)</f>
        <v>$58.00</v>
      </c>
      <c r="N326">
        <f t="shared" si="33"/>
        <v>420</v>
      </c>
      <c r="O326">
        <f t="shared" si="34"/>
        <v>232</v>
      </c>
      <c r="P326">
        <f t="shared" si="35"/>
        <v>188</v>
      </c>
      <c r="Q326" s="20">
        <f>Table1[[#This Row],[Profit ]]/Table1[[#This Row],[Total Revenue]]</f>
        <v>0.44761904761904764</v>
      </c>
    </row>
    <row r="327" spans="1:17" ht="15.75" thickBot="1" x14ac:dyDescent="0.3">
      <c r="A327" s="10" t="s">
        <v>179</v>
      </c>
      <c r="B327" s="16" t="str">
        <f t="shared" si="30"/>
        <v>2026</v>
      </c>
      <c r="C327" s="16" t="str">
        <f t="shared" si="31"/>
        <v>15</v>
      </c>
      <c r="D327" s="16" t="str">
        <f t="shared" si="32"/>
        <v>Jun</v>
      </c>
      <c r="E327" s="5" t="s">
        <v>97</v>
      </c>
      <c r="F327" s="5" t="s">
        <v>10</v>
      </c>
      <c r="G327" s="8" t="s">
        <v>36</v>
      </c>
      <c r="H327" s="5" t="s">
        <v>63</v>
      </c>
      <c r="I327" s="8" t="s">
        <v>56</v>
      </c>
      <c r="J327" s="9">
        <v>11</v>
      </c>
      <c r="K327" s="8" t="s">
        <v>50</v>
      </c>
      <c r="L327" t="s">
        <v>206</v>
      </c>
      <c r="M327" t="str">
        <f>VLOOKUP(E327,Price!$A$2:$C$9,3,)</f>
        <v>$28.00</v>
      </c>
      <c r="N327">
        <f t="shared" si="33"/>
        <v>594</v>
      </c>
      <c r="O327">
        <f t="shared" si="34"/>
        <v>308</v>
      </c>
      <c r="P327">
        <f t="shared" si="35"/>
        <v>286</v>
      </c>
      <c r="Q327" s="20">
        <f>Table1[[#This Row],[Profit ]]/Table1[[#This Row],[Total Revenue]]</f>
        <v>0.48148148148148145</v>
      </c>
    </row>
    <row r="328" spans="1:17" ht="15.75" thickBot="1" x14ac:dyDescent="0.3">
      <c r="A328" s="11">
        <v>46333</v>
      </c>
      <c r="B328" s="17" t="str">
        <f t="shared" si="30"/>
        <v>6333</v>
      </c>
      <c r="C328" s="17" t="str">
        <f t="shared" si="31"/>
        <v>33</v>
      </c>
      <c r="D328" s="17" t="str">
        <f t="shared" si="32"/>
        <v>Nov</v>
      </c>
      <c r="E328" s="5" t="s">
        <v>74</v>
      </c>
      <c r="F328" s="5" t="s">
        <v>62</v>
      </c>
      <c r="G328" s="5" t="s">
        <v>43</v>
      </c>
      <c r="H328" s="5" t="s">
        <v>63</v>
      </c>
      <c r="I328" s="5" t="s">
        <v>73</v>
      </c>
      <c r="J328" s="6">
        <v>4</v>
      </c>
      <c r="K328" s="5" t="s">
        <v>14</v>
      </c>
      <c r="L328" t="s">
        <v>204</v>
      </c>
      <c r="M328" t="str">
        <f>VLOOKUP(E328,Price!$A$2:$C$9,3,)</f>
        <v>$47.00</v>
      </c>
      <c r="N328">
        <f t="shared" si="33"/>
        <v>356</v>
      </c>
      <c r="O328">
        <f t="shared" si="34"/>
        <v>188</v>
      </c>
      <c r="P328">
        <f t="shared" si="35"/>
        <v>168</v>
      </c>
      <c r="Q328" s="20">
        <f>Table1[[#This Row],[Profit ]]/Table1[[#This Row],[Total Revenue]]</f>
        <v>0.47191011235955055</v>
      </c>
    </row>
    <row r="329" spans="1:17" ht="15.75" thickBot="1" x14ac:dyDescent="0.3">
      <c r="A329" s="10" t="s">
        <v>127</v>
      </c>
      <c r="B329" s="16" t="str">
        <f t="shared" si="30"/>
        <v>2026</v>
      </c>
      <c r="C329" s="16" t="str">
        <f t="shared" si="31"/>
        <v>13</v>
      </c>
      <c r="D329" s="16" t="str">
        <f t="shared" si="32"/>
        <v>Jul</v>
      </c>
      <c r="E329" s="5" t="s">
        <v>140</v>
      </c>
      <c r="F329" s="5" t="s">
        <v>62</v>
      </c>
      <c r="G329" s="8" t="s">
        <v>36</v>
      </c>
      <c r="H329" s="5" t="s">
        <v>12</v>
      </c>
      <c r="I329" s="8" t="s">
        <v>56</v>
      </c>
      <c r="J329" s="9">
        <v>10</v>
      </c>
      <c r="K329" s="8" t="s">
        <v>42</v>
      </c>
      <c r="L329" t="s">
        <v>216</v>
      </c>
      <c r="M329" t="str">
        <f>VLOOKUP(E329,Price!$A$2:$C$9,3,)</f>
        <v>$64.00</v>
      </c>
      <c r="N329">
        <f t="shared" si="33"/>
        <v>1120</v>
      </c>
      <c r="O329">
        <f t="shared" si="34"/>
        <v>640</v>
      </c>
      <c r="P329">
        <f t="shared" si="35"/>
        <v>480</v>
      </c>
      <c r="Q329" s="20">
        <f>Table1[[#This Row],[Profit ]]/Table1[[#This Row],[Total Revenue]]</f>
        <v>0.42857142857142855</v>
      </c>
    </row>
    <row r="330" spans="1:17" ht="15.75" thickBot="1" x14ac:dyDescent="0.3">
      <c r="A330" s="11" t="s">
        <v>106</v>
      </c>
      <c r="B330" s="17" t="str">
        <f t="shared" si="30"/>
        <v>2026</v>
      </c>
      <c r="C330" s="17" t="str">
        <f t="shared" si="31"/>
        <v>28</v>
      </c>
      <c r="D330" s="17" t="str">
        <f t="shared" si="32"/>
        <v>Mar</v>
      </c>
      <c r="E330" s="5" t="s">
        <v>21</v>
      </c>
      <c r="F330" s="5" t="s">
        <v>10</v>
      </c>
      <c r="G330" s="5" t="s">
        <v>17</v>
      </c>
      <c r="H330" s="5" t="s">
        <v>67</v>
      </c>
      <c r="I330" s="5" t="s">
        <v>56</v>
      </c>
      <c r="J330" s="6">
        <v>3</v>
      </c>
      <c r="K330" s="5" t="s">
        <v>42</v>
      </c>
      <c r="L330" t="s">
        <v>208</v>
      </c>
      <c r="M330" t="str">
        <f>VLOOKUP(E330,Price!$A$2:$C$9,3,)</f>
        <v>$14.00</v>
      </c>
      <c r="N330">
        <f t="shared" si="33"/>
        <v>96</v>
      </c>
      <c r="O330">
        <f t="shared" si="34"/>
        <v>42</v>
      </c>
      <c r="P330">
        <f t="shared" si="35"/>
        <v>54</v>
      </c>
      <c r="Q330" s="20">
        <f>Table1[[#This Row],[Profit ]]/Table1[[#This Row],[Total Revenue]]</f>
        <v>0.5625</v>
      </c>
    </row>
    <row r="331" spans="1:17" ht="15.75" thickBot="1" x14ac:dyDescent="0.3">
      <c r="A331" s="10" t="s">
        <v>152</v>
      </c>
      <c r="B331" s="16" t="str">
        <f t="shared" si="30"/>
        <v>2026</v>
      </c>
      <c r="C331" s="16" t="str">
        <f t="shared" si="31"/>
        <v>25</v>
      </c>
      <c r="D331" s="16" t="str">
        <f t="shared" si="32"/>
        <v>Jan</v>
      </c>
      <c r="E331" s="5" t="s">
        <v>21</v>
      </c>
      <c r="F331" s="5" t="s">
        <v>10</v>
      </c>
      <c r="G331" s="8" t="s">
        <v>17</v>
      </c>
      <c r="H331" s="5" t="s">
        <v>52</v>
      </c>
      <c r="I331" s="8" t="s">
        <v>38</v>
      </c>
      <c r="J331" s="9">
        <v>5</v>
      </c>
      <c r="K331" s="8" t="s">
        <v>42</v>
      </c>
      <c r="L331" t="s">
        <v>208</v>
      </c>
      <c r="M331" t="str">
        <f>VLOOKUP(E331,Price!$A$2:$C$9,3,)</f>
        <v>$14.00</v>
      </c>
      <c r="N331">
        <f t="shared" si="33"/>
        <v>160</v>
      </c>
      <c r="O331">
        <f t="shared" si="34"/>
        <v>70</v>
      </c>
      <c r="P331">
        <f t="shared" si="35"/>
        <v>90</v>
      </c>
      <c r="Q331" s="20">
        <f>Table1[[#This Row],[Profit ]]/Table1[[#This Row],[Total Revenue]]</f>
        <v>0.5625</v>
      </c>
    </row>
    <row r="332" spans="1:17" ht="15.75" thickBot="1" x14ac:dyDescent="0.3">
      <c r="A332" s="11" t="s">
        <v>180</v>
      </c>
      <c r="B332" s="17" t="str">
        <f t="shared" si="30"/>
        <v>2026</v>
      </c>
      <c r="C332" s="17" t="str">
        <f t="shared" si="31"/>
        <v>16</v>
      </c>
      <c r="D332" s="17" t="str">
        <f t="shared" si="32"/>
        <v>Apr</v>
      </c>
      <c r="E332" s="5" t="s">
        <v>74</v>
      </c>
      <c r="F332" s="5" t="s">
        <v>10</v>
      </c>
      <c r="G332" s="5" t="s">
        <v>17</v>
      </c>
      <c r="H332" s="5" t="s">
        <v>12</v>
      </c>
      <c r="I332" s="5" t="s">
        <v>73</v>
      </c>
      <c r="J332" s="6">
        <v>10</v>
      </c>
      <c r="K332" s="5" t="s">
        <v>50</v>
      </c>
      <c r="L332" t="s">
        <v>204</v>
      </c>
      <c r="M332" t="str">
        <f>VLOOKUP(E332,Price!$A$2:$C$9,3,)</f>
        <v>$47.00</v>
      </c>
      <c r="N332">
        <f t="shared" si="33"/>
        <v>890</v>
      </c>
      <c r="O332">
        <f t="shared" si="34"/>
        <v>470</v>
      </c>
      <c r="P332">
        <f t="shared" si="35"/>
        <v>420</v>
      </c>
      <c r="Q332" s="20">
        <f>Table1[[#This Row],[Profit ]]/Table1[[#This Row],[Total Revenue]]</f>
        <v>0.47191011235955055</v>
      </c>
    </row>
    <row r="333" spans="1:17" ht="15.75" thickBot="1" x14ac:dyDescent="0.3">
      <c r="A333" s="10" t="s">
        <v>119</v>
      </c>
      <c r="B333" s="16" t="str">
        <f t="shared" si="30"/>
        <v>2026</v>
      </c>
      <c r="C333" s="16" t="str">
        <f t="shared" si="31"/>
        <v>19</v>
      </c>
      <c r="D333" s="16" t="str">
        <f t="shared" si="32"/>
        <v>Jan</v>
      </c>
      <c r="E333" s="5" t="s">
        <v>74</v>
      </c>
      <c r="F333" s="5" t="s">
        <v>10</v>
      </c>
      <c r="G333" s="8" t="s">
        <v>23</v>
      </c>
      <c r="H333" s="5" t="s">
        <v>52</v>
      </c>
      <c r="I333" s="8" t="s">
        <v>86</v>
      </c>
      <c r="J333" s="9">
        <v>5</v>
      </c>
      <c r="K333" s="8" t="s">
        <v>50</v>
      </c>
      <c r="L333" t="s">
        <v>204</v>
      </c>
      <c r="M333" t="str">
        <f>VLOOKUP(E333,Price!$A$2:$C$9,3,)</f>
        <v>$47.00</v>
      </c>
      <c r="N333">
        <f t="shared" si="33"/>
        <v>445</v>
      </c>
      <c r="O333">
        <f t="shared" si="34"/>
        <v>235</v>
      </c>
      <c r="P333">
        <f t="shared" si="35"/>
        <v>210</v>
      </c>
      <c r="Q333" s="20">
        <f>Table1[[#This Row],[Profit ]]/Table1[[#This Row],[Total Revenue]]</f>
        <v>0.47191011235955055</v>
      </c>
    </row>
    <row r="334" spans="1:17" ht="15.75" thickBot="1" x14ac:dyDescent="0.3">
      <c r="A334" s="11" t="s">
        <v>82</v>
      </c>
      <c r="B334" s="17" t="str">
        <f t="shared" si="30"/>
        <v>2026</v>
      </c>
      <c r="C334" s="17" t="str">
        <f t="shared" si="31"/>
        <v>30</v>
      </c>
      <c r="D334" s="17" t="str">
        <f t="shared" si="32"/>
        <v>Apr</v>
      </c>
      <c r="E334" s="5" t="s">
        <v>34</v>
      </c>
      <c r="F334" s="5" t="s">
        <v>62</v>
      </c>
      <c r="G334" s="5" t="s">
        <v>23</v>
      </c>
      <c r="H334" s="5" t="s">
        <v>52</v>
      </c>
      <c r="I334" s="5" t="s">
        <v>53</v>
      </c>
      <c r="J334" s="6">
        <v>7</v>
      </c>
      <c r="K334" s="5" t="s">
        <v>14</v>
      </c>
      <c r="L334" t="s">
        <v>212</v>
      </c>
      <c r="M334" t="str">
        <f>VLOOKUP(E334,Price!$A$2:$C$9,3,)</f>
        <v>$72.00</v>
      </c>
      <c r="N334">
        <f t="shared" si="33"/>
        <v>896</v>
      </c>
      <c r="O334">
        <f t="shared" si="34"/>
        <v>504</v>
      </c>
      <c r="P334">
        <f t="shared" si="35"/>
        <v>392</v>
      </c>
      <c r="Q334" s="20">
        <f>Table1[[#This Row],[Profit ]]/Table1[[#This Row],[Total Revenue]]</f>
        <v>0.4375</v>
      </c>
    </row>
    <row r="335" spans="1:17" ht="15.75" thickBot="1" x14ac:dyDescent="0.3">
      <c r="A335" s="10" t="s">
        <v>163</v>
      </c>
      <c r="B335" s="16" t="str">
        <f t="shared" si="30"/>
        <v>2026</v>
      </c>
      <c r="C335" s="16" t="str">
        <f t="shared" si="31"/>
        <v>25</v>
      </c>
      <c r="D335" s="16" t="str">
        <f t="shared" si="32"/>
        <v>May</v>
      </c>
      <c r="E335" s="5" t="s">
        <v>74</v>
      </c>
      <c r="F335" s="5" t="s">
        <v>10</v>
      </c>
      <c r="G335" s="8" t="s">
        <v>17</v>
      </c>
      <c r="H335" s="5" t="s">
        <v>12</v>
      </c>
      <c r="I335" s="8" t="s">
        <v>41</v>
      </c>
      <c r="J335" s="9">
        <v>5</v>
      </c>
      <c r="K335" s="8" t="s">
        <v>42</v>
      </c>
      <c r="L335" t="s">
        <v>204</v>
      </c>
      <c r="M335" t="str">
        <f>VLOOKUP(E335,Price!$A$2:$C$9,3,)</f>
        <v>$47.00</v>
      </c>
      <c r="N335">
        <f t="shared" si="33"/>
        <v>445</v>
      </c>
      <c r="O335">
        <f t="shared" si="34"/>
        <v>235</v>
      </c>
      <c r="P335">
        <f t="shared" si="35"/>
        <v>210</v>
      </c>
      <c r="Q335" s="20">
        <f>Table1[[#This Row],[Profit ]]/Table1[[#This Row],[Total Revenue]]</f>
        <v>0.47191011235955055</v>
      </c>
    </row>
    <row r="336" spans="1:17" ht="15.75" thickBot="1" x14ac:dyDescent="0.3">
      <c r="A336" s="11" t="s">
        <v>181</v>
      </c>
      <c r="B336" s="17" t="str">
        <f t="shared" si="30"/>
        <v>2026</v>
      </c>
      <c r="C336" s="17" t="str">
        <f t="shared" si="31"/>
        <v>20</v>
      </c>
      <c r="D336" s="17" t="str">
        <f t="shared" si="32"/>
        <v>Jan</v>
      </c>
      <c r="E336" s="5" t="s">
        <v>21</v>
      </c>
      <c r="F336" s="5" t="s">
        <v>62</v>
      </c>
      <c r="G336" s="5" t="s">
        <v>23</v>
      </c>
      <c r="H336" s="5" t="s">
        <v>52</v>
      </c>
      <c r="I336" s="5" t="s">
        <v>103</v>
      </c>
      <c r="J336" s="6">
        <v>4</v>
      </c>
      <c r="K336" s="5" t="s">
        <v>42</v>
      </c>
      <c r="L336" t="s">
        <v>208</v>
      </c>
      <c r="M336" t="str">
        <f>VLOOKUP(E336,Price!$A$2:$C$9,3,)</f>
        <v>$14.00</v>
      </c>
      <c r="N336">
        <f t="shared" si="33"/>
        <v>128</v>
      </c>
      <c r="O336">
        <f t="shared" si="34"/>
        <v>56</v>
      </c>
      <c r="P336">
        <f t="shared" si="35"/>
        <v>72</v>
      </c>
      <c r="Q336" s="20">
        <f>Table1[[#This Row],[Profit ]]/Table1[[#This Row],[Total Revenue]]</f>
        <v>0.5625</v>
      </c>
    </row>
    <row r="337" spans="1:17" ht="15.75" thickBot="1" x14ac:dyDescent="0.3">
      <c r="A337" s="10" t="s">
        <v>141</v>
      </c>
      <c r="B337" s="16" t="str">
        <f t="shared" si="30"/>
        <v>2026</v>
      </c>
      <c r="C337" s="16" t="str">
        <f t="shared" si="31"/>
        <v>31</v>
      </c>
      <c r="D337" s="16" t="str">
        <f t="shared" si="32"/>
        <v>May</v>
      </c>
      <c r="E337" s="5" t="s">
        <v>97</v>
      </c>
      <c r="F337" s="5" t="s">
        <v>10</v>
      </c>
      <c r="G337" s="8" t="s">
        <v>11</v>
      </c>
      <c r="H337" s="5" t="s">
        <v>52</v>
      </c>
      <c r="I337" s="8" t="s">
        <v>64</v>
      </c>
      <c r="J337" s="9">
        <v>10</v>
      </c>
      <c r="K337" s="8" t="s">
        <v>14</v>
      </c>
      <c r="L337" t="s">
        <v>206</v>
      </c>
      <c r="M337" t="str">
        <f>VLOOKUP(E337,Price!$A$2:$C$9,3,)</f>
        <v>$28.00</v>
      </c>
      <c r="N337">
        <f t="shared" si="33"/>
        <v>540</v>
      </c>
      <c r="O337">
        <f t="shared" si="34"/>
        <v>280</v>
      </c>
      <c r="P337">
        <f t="shared" si="35"/>
        <v>260</v>
      </c>
      <c r="Q337" s="20">
        <f>Table1[[#This Row],[Profit ]]/Table1[[#This Row],[Total Revenue]]</f>
        <v>0.48148148148148145</v>
      </c>
    </row>
    <row r="338" spans="1:17" ht="15.75" thickBot="1" x14ac:dyDescent="0.3">
      <c r="A338" s="11">
        <v>46235</v>
      </c>
      <c r="B338" s="17" t="str">
        <f t="shared" si="30"/>
        <v>6235</v>
      </c>
      <c r="C338" s="17" t="str">
        <f t="shared" si="31"/>
        <v>35</v>
      </c>
      <c r="D338" s="17" t="str">
        <f t="shared" si="32"/>
        <v>Nov</v>
      </c>
      <c r="E338" s="5" t="s">
        <v>21</v>
      </c>
      <c r="F338" s="5" t="s">
        <v>62</v>
      </c>
      <c r="G338" s="5" t="s">
        <v>23</v>
      </c>
      <c r="H338" s="5" t="s">
        <v>52</v>
      </c>
      <c r="I338" s="5" t="s">
        <v>73</v>
      </c>
      <c r="J338" s="6">
        <v>12</v>
      </c>
      <c r="K338" s="5" t="s">
        <v>19</v>
      </c>
      <c r="L338" t="s">
        <v>208</v>
      </c>
      <c r="M338" t="str">
        <f>VLOOKUP(E338,Price!$A$2:$C$9,3,)</f>
        <v>$14.00</v>
      </c>
      <c r="N338">
        <f t="shared" si="33"/>
        <v>384</v>
      </c>
      <c r="O338">
        <f t="shared" si="34"/>
        <v>168</v>
      </c>
      <c r="P338">
        <f t="shared" si="35"/>
        <v>216</v>
      </c>
      <c r="Q338" s="20">
        <f>Table1[[#This Row],[Profit ]]/Table1[[#This Row],[Total Revenue]]</f>
        <v>0.5625</v>
      </c>
    </row>
    <row r="339" spans="1:17" ht="15.75" thickBot="1" x14ac:dyDescent="0.3">
      <c r="A339" s="10" t="s">
        <v>159</v>
      </c>
      <c r="B339" s="16" t="str">
        <f t="shared" si="30"/>
        <v>2026</v>
      </c>
      <c r="C339" s="16" t="str">
        <f t="shared" si="31"/>
        <v>15</v>
      </c>
      <c r="D339" s="16" t="str">
        <f t="shared" si="32"/>
        <v>May</v>
      </c>
      <c r="E339" s="5" t="s">
        <v>34</v>
      </c>
      <c r="F339" s="5" t="s">
        <v>10</v>
      </c>
      <c r="G339" s="8" t="s">
        <v>11</v>
      </c>
      <c r="H339" s="5" t="s">
        <v>52</v>
      </c>
      <c r="I339" s="8" t="s">
        <v>41</v>
      </c>
      <c r="J339" s="9">
        <v>8</v>
      </c>
      <c r="K339" s="8" t="s">
        <v>14</v>
      </c>
      <c r="L339" t="s">
        <v>212</v>
      </c>
      <c r="M339" t="str">
        <f>VLOOKUP(E339,Price!$A$2:$C$9,3,)</f>
        <v>$72.00</v>
      </c>
      <c r="N339">
        <f t="shared" si="33"/>
        <v>1024</v>
      </c>
      <c r="O339">
        <f t="shared" si="34"/>
        <v>576</v>
      </c>
      <c r="P339">
        <f t="shared" si="35"/>
        <v>448</v>
      </c>
      <c r="Q339" s="20">
        <f>Table1[[#This Row],[Profit ]]/Table1[[#This Row],[Total Revenue]]</f>
        <v>0.4375</v>
      </c>
    </row>
    <row r="340" spans="1:17" ht="15.75" thickBot="1" x14ac:dyDescent="0.3">
      <c r="A340" s="11" t="s">
        <v>79</v>
      </c>
      <c r="B340" s="17" t="str">
        <f t="shared" si="30"/>
        <v>2026</v>
      </c>
      <c r="C340" s="17" t="str">
        <f t="shared" si="31"/>
        <v>13</v>
      </c>
      <c r="D340" s="17" t="str">
        <f t="shared" si="32"/>
        <v>Jan</v>
      </c>
      <c r="E340" s="5" t="s">
        <v>72</v>
      </c>
      <c r="F340" s="5" t="s">
        <v>10</v>
      </c>
      <c r="G340" s="5" t="s">
        <v>43</v>
      </c>
      <c r="H340" s="5" t="s">
        <v>138</v>
      </c>
      <c r="I340" s="5" t="s">
        <v>13</v>
      </c>
      <c r="J340" s="6">
        <v>4</v>
      </c>
      <c r="K340" s="5" t="s">
        <v>50</v>
      </c>
      <c r="L340" t="s">
        <v>214</v>
      </c>
      <c r="M340" t="str">
        <f>VLOOKUP(E340,Price!$A$2:$C$9,3,)</f>
        <v>$58.00</v>
      </c>
      <c r="N340">
        <f t="shared" si="33"/>
        <v>420</v>
      </c>
      <c r="O340">
        <f t="shared" si="34"/>
        <v>232</v>
      </c>
      <c r="P340">
        <f t="shared" si="35"/>
        <v>188</v>
      </c>
      <c r="Q340" s="20">
        <f>Table1[[#This Row],[Profit ]]/Table1[[#This Row],[Total Revenue]]</f>
        <v>0.44761904761904764</v>
      </c>
    </row>
    <row r="341" spans="1:17" ht="15.75" thickBot="1" x14ac:dyDescent="0.3">
      <c r="A341" s="10" t="s">
        <v>106</v>
      </c>
      <c r="B341" s="16" t="str">
        <f t="shared" si="30"/>
        <v>2026</v>
      </c>
      <c r="C341" s="16" t="str">
        <f t="shared" si="31"/>
        <v>28</v>
      </c>
      <c r="D341" s="16" t="str">
        <f t="shared" si="32"/>
        <v>Mar</v>
      </c>
      <c r="E341" s="5" t="s">
        <v>34</v>
      </c>
      <c r="F341" s="5" t="s">
        <v>90</v>
      </c>
      <c r="G341" s="8" t="s">
        <v>23</v>
      </c>
      <c r="H341" s="5" t="s">
        <v>52</v>
      </c>
      <c r="I341" s="8" t="s">
        <v>64</v>
      </c>
      <c r="J341" s="9">
        <v>13</v>
      </c>
      <c r="K341" s="8" t="s">
        <v>14</v>
      </c>
      <c r="L341" t="s">
        <v>212</v>
      </c>
      <c r="M341" t="str">
        <f>VLOOKUP(E341,Price!$A$2:$C$9,3,)</f>
        <v>$72.00</v>
      </c>
      <c r="N341">
        <f t="shared" si="33"/>
        <v>1664</v>
      </c>
      <c r="O341">
        <f t="shared" si="34"/>
        <v>936</v>
      </c>
      <c r="P341">
        <f t="shared" si="35"/>
        <v>728</v>
      </c>
      <c r="Q341" s="20">
        <f>Table1[[#This Row],[Profit ]]/Table1[[#This Row],[Total Revenue]]</f>
        <v>0.4375</v>
      </c>
    </row>
    <row r="342" spans="1:17" ht="15.75" thickBot="1" x14ac:dyDescent="0.3">
      <c r="A342" s="11" t="s">
        <v>87</v>
      </c>
      <c r="B342" s="17" t="str">
        <f t="shared" si="30"/>
        <v>2026</v>
      </c>
      <c r="C342" s="17" t="str">
        <f t="shared" si="31"/>
        <v>16</v>
      </c>
      <c r="D342" s="17" t="str">
        <f t="shared" si="32"/>
        <v>Jul</v>
      </c>
      <c r="E342" s="5" t="s">
        <v>80</v>
      </c>
      <c r="F342" s="5" t="s">
        <v>10</v>
      </c>
      <c r="G342" s="5" t="s">
        <v>43</v>
      </c>
      <c r="H342" s="5" t="s">
        <v>67</v>
      </c>
      <c r="I342" s="5" t="s">
        <v>64</v>
      </c>
      <c r="J342" s="6">
        <v>14</v>
      </c>
      <c r="K342" s="5" t="s">
        <v>19</v>
      </c>
      <c r="L342" t="s">
        <v>210</v>
      </c>
      <c r="M342" t="str">
        <f>VLOOKUP(E342,Price!$A$2:$C$9,3,)</f>
        <v>$39.00</v>
      </c>
      <c r="N342">
        <f t="shared" si="33"/>
        <v>1064</v>
      </c>
      <c r="O342">
        <f t="shared" si="34"/>
        <v>546</v>
      </c>
      <c r="P342">
        <f t="shared" si="35"/>
        <v>518</v>
      </c>
      <c r="Q342" s="20">
        <f>Table1[[#This Row],[Profit ]]/Table1[[#This Row],[Total Revenue]]</f>
        <v>0.48684210526315791</v>
      </c>
    </row>
    <row r="343" spans="1:17" ht="15.75" thickBot="1" x14ac:dyDescent="0.3">
      <c r="A343" s="10" t="s">
        <v>181</v>
      </c>
      <c r="B343" s="16" t="str">
        <f t="shared" si="30"/>
        <v>2026</v>
      </c>
      <c r="C343" s="16" t="str">
        <f t="shared" si="31"/>
        <v>20</v>
      </c>
      <c r="D343" s="16" t="str">
        <f t="shared" si="32"/>
        <v>Jan</v>
      </c>
      <c r="E343" s="5" t="s">
        <v>80</v>
      </c>
      <c r="F343" s="5" t="s">
        <v>35</v>
      </c>
      <c r="G343" s="8" t="s">
        <v>23</v>
      </c>
      <c r="H343" s="5" t="s">
        <v>138</v>
      </c>
      <c r="I343" s="8" t="s">
        <v>28</v>
      </c>
      <c r="J343" s="9">
        <v>1</v>
      </c>
      <c r="K343" s="8" t="s">
        <v>42</v>
      </c>
      <c r="L343" t="s">
        <v>210</v>
      </c>
      <c r="M343" t="str">
        <f>VLOOKUP(E343,Price!$A$2:$C$9,3,)</f>
        <v>$39.00</v>
      </c>
      <c r="N343">
        <f t="shared" si="33"/>
        <v>76</v>
      </c>
      <c r="O343">
        <f t="shared" si="34"/>
        <v>39</v>
      </c>
      <c r="P343">
        <f t="shared" si="35"/>
        <v>37</v>
      </c>
      <c r="Q343" s="20">
        <f>Table1[[#This Row],[Profit ]]/Table1[[#This Row],[Total Revenue]]</f>
        <v>0.48684210526315791</v>
      </c>
    </row>
    <row r="344" spans="1:17" ht="15.75" thickBot="1" x14ac:dyDescent="0.3">
      <c r="A344" s="11" t="s">
        <v>169</v>
      </c>
      <c r="B344" s="17" t="str">
        <f t="shared" si="30"/>
        <v>2026</v>
      </c>
      <c r="C344" s="17" t="str">
        <f t="shared" si="31"/>
        <v>24</v>
      </c>
      <c r="D344" s="17" t="str">
        <f t="shared" si="32"/>
        <v>Jul</v>
      </c>
      <c r="E344" s="5" t="s">
        <v>140</v>
      </c>
      <c r="F344" s="5" t="s">
        <v>10</v>
      </c>
      <c r="G344" s="5" t="s">
        <v>11</v>
      </c>
      <c r="H344" s="5" t="s">
        <v>67</v>
      </c>
      <c r="I344" s="5" t="s">
        <v>53</v>
      </c>
      <c r="J344" s="6">
        <v>15</v>
      </c>
      <c r="K344" s="5" t="s">
        <v>42</v>
      </c>
      <c r="L344" t="s">
        <v>216</v>
      </c>
      <c r="M344" t="str">
        <f>VLOOKUP(E344,Price!$A$2:$C$9,3,)</f>
        <v>$64.00</v>
      </c>
      <c r="N344">
        <f t="shared" si="33"/>
        <v>1680</v>
      </c>
      <c r="O344">
        <f t="shared" si="34"/>
        <v>960</v>
      </c>
      <c r="P344">
        <f t="shared" si="35"/>
        <v>720</v>
      </c>
      <c r="Q344" s="20">
        <f>Table1[[#This Row],[Profit ]]/Table1[[#This Row],[Total Revenue]]</f>
        <v>0.42857142857142855</v>
      </c>
    </row>
    <row r="345" spans="1:17" ht="15.75" thickBot="1" x14ac:dyDescent="0.3">
      <c r="A345" s="10">
        <v>46209</v>
      </c>
      <c r="B345" s="16" t="str">
        <f t="shared" si="30"/>
        <v>6209</v>
      </c>
      <c r="C345" s="16" t="str">
        <f t="shared" si="31"/>
        <v>09</v>
      </c>
      <c r="D345" s="16" t="str">
        <f t="shared" si="32"/>
        <v>Oct</v>
      </c>
      <c r="E345" s="5" t="s">
        <v>118</v>
      </c>
      <c r="F345" s="5" t="s">
        <v>62</v>
      </c>
      <c r="G345" s="8" t="s">
        <v>23</v>
      </c>
      <c r="H345" s="5" t="s">
        <v>52</v>
      </c>
      <c r="I345" s="8" t="s">
        <v>86</v>
      </c>
      <c r="J345" s="9">
        <v>13</v>
      </c>
      <c r="K345" s="8" t="s">
        <v>14</v>
      </c>
      <c r="L345" t="s">
        <v>218</v>
      </c>
      <c r="M345" t="str">
        <f>VLOOKUP(E345,Price!$A$2:$C$9,3,)</f>
        <v>$67.00</v>
      </c>
      <c r="N345">
        <f t="shared" si="33"/>
        <v>1547</v>
      </c>
      <c r="O345">
        <f t="shared" si="34"/>
        <v>871</v>
      </c>
      <c r="P345">
        <f t="shared" si="35"/>
        <v>676</v>
      </c>
      <c r="Q345" s="20">
        <f>Table1[[#This Row],[Profit ]]/Table1[[#This Row],[Total Revenue]]</f>
        <v>0.43697478991596639</v>
      </c>
    </row>
    <row r="346" spans="1:17" ht="15.75" thickBot="1" x14ac:dyDescent="0.3">
      <c r="A346" s="11" t="s">
        <v>154</v>
      </c>
      <c r="B346" s="17" t="str">
        <f t="shared" si="30"/>
        <v>2026</v>
      </c>
      <c r="C346" s="17" t="str">
        <f t="shared" si="31"/>
        <v>24</v>
      </c>
      <c r="D346" s="17" t="str">
        <f t="shared" si="32"/>
        <v>Jan</v>
      </c>
      <c r="E346" s="5" t="s">
        <v>34</v>
      </c>
      <c r="F346" s="5" t="s">
        <v>10</v>
      </c>
      <c r="G346" s="5" t="s">
        <v>36</v>
      </c>
      <c r="H346" s="5" t="s">
        <v>52</v>
      </c>
      <c r="I346" s="5" t="s">
        <v>49</v>
      </c>
      <c r="J346" s="6">
        <v>8</v>
      </c>
      <c r="K346" s="5" t="s">
        <v>14</v>
      </c>
      <c r="L346" t="s">
        <v>212</v>
      </c>
      <c r="M346" t="str">
        <f>VLOOKUP(E346,Price!$A$2:$C$9,3,)</f>
        <v>$72.00</v>
      </c>
      <c r="N346">
        <f t="shared" si="33"/>
        <v>1024</v>
      </c>
      <c r="O346">
        <f t="shared" si="34"/>
        <v>576</v>
      </c>
      <c r="P346">
        <f t="shared" si="35"/>
        <v>448</v>
      </c>
      <c r="Q346" s="20">
        <f>Table1[[#This Row],[Profit ]]/Table1[[#This Row],[Total Revenue]]</f>
        <v>0.4375</v>
      </c>
    </row>
    <row r="347" spans="1:17" ht="15.75" thickBot="1" x14ac:dyDescent="0.3">
      <c r="A347" s="10" t="s">
        <v>182</v>
      </c>
      <c r="B347" s="16" t="str">
        <f t="shared" si="30"/>
        <v>2026</v>
      </c>
      <c r="C347" s="16" t="str">
        <f t="shared" si="31"/>
        <v>25</v>
      </c>
      <c r="D347" s="16" t="str">
        <f t="shared" si="32"/>
        <v>Feb</v>
      </c>
      <c r="E347" s="5" t="s">
        <v>80</v>
      </c>
      <c r="F347" s="5" t="s">
        <v>35</v>
      </c>
      <c r="G347" s="8" t="s">
        <v>23</v>
      </c>
      <c r="H347" s="5" t="s">
        <v>63</v>
      </c>
      <c r="I347" s="8" t="s">
        <v>33</v>
      </c>
      <c r="J347" s="9">
        <v>8</v>
      </c>
      <c r="K347" s="8" t="s">
        <v>42</v>
      </c>
      <c r="L347" t="s">
        <v>210</v>
      </c>
      <c r="M347" t="str">
        <f>VLOOKUP(E347,Price!$A$2:$C$9,3,)</f>
        <v>$39.00</v>
      </c>
      <c r="N347">
        <f t="shared" si="33"/>
        <v>608</v>
      </c>
      <c r="O347">
        <f t="shared" si="34"/>
        <v>312</v>
      </c>
      <c r="P347">
        <f t="shared" si="35"/>
        <v>296</v>
      </c>
      <c r="Q347" s="20">
        <f>Table1[[#This Row],[Profit ]]/Table1[[#This Row],[Total Revenue]]</f>
        <v>0.48684210526315791</v>
      </c>
    </row>
    <row r="348" spans="1:17" ht="15.75" thickBot="1" x14ac:dyDescent="0.3">
      <c r="A348" s="11" t="s">
        <v>82</v>
      </c>
      <c r="B348" s="17" t="str">
        <f t="shared" si="30"/>
        <v>2026</v>
      </c>
      <c r="C348" s="17" t="str">
        <f t="shared" si="31"/>
        <v>30</v>
      </c>
      <c r="D348" s="17" t="str">
        <f t="shared" si="32"/>
        <v>Apr</v>
      </c>
      <c r="E348" s="5" t="s">
        <v>140</v>
      </c>
      <c r="F348" s="5" t="s">
        <v>35</v>
      </c>
      <c r="G348" s="5" t="s">
        <v>17</v>
      </c>
      <c r="H348" s="5" t="s">
        <v>12</v>
      </c>
      <c r="I348" s="5" t="s">
        <v>49</v>
      </c>
      <c r="J348" s="6">
        <v>10</v>
      </c>
      <c r="K348" s="5" t="s">
        <v>50</v>
      </c>
      <c r="L348" t="s">
        <v>216</v>
      </c>
      <c r="M348" t="str">
        <f>VLOOKUP(E348,Price!$A$2:$C$9,3,)</f>
        <v>$64.00</v>
      </c>
      <c r="N348">
        <f t="shared" si="33"/>
        <v>1120</v>
      </c>
      <c r="O348">
        <f t="shared" si="34"/>
        <v>640</v>
      </c>
      <c r="P348">
        <f t="shared" si="35"/>
        <v>480</v>
      </c>
      <c r="Q348" s="20">
        <f>Table1[[#This Row],[Profit ]]/Table1[[#This Row],[Total Revenue]]</f>
        <v>0.42857142857142855</v>
      </c>
    </row>
    <row r="349" spans="1:17" ht="15.75" thickBot="1" x14ac:dyDescent="0.3">
      <c r="A349" s="10">
        <v>46082</v>
      </c>
      <c r="B349" s="16" t="str">
        <f t="shared" si="30"/>
        <v>6082</v>
      </c>
      <c r="C349" s="16" t="str">
        <f t="shared" si="31"/>
        <v>82</v>
      </c>
      <c r="D349" s="16" t="str">
        <f t="shared" si="32"/>
        <v>Dec</v>
      </c>
      <c r="E349" s="5" t="s">
        <v>97</v>
      </c>
      <c r="F349" s="5" t="s">
        <v>62</v>
      </c>
      <c r="G349" s="8" t="s">
        <v>36</v>
      </c>
      <c r="H349" s="5" t="s">
        <v>52</v>
      </c>
      <c r="I349" s="8" t="s">
        <v>13</v>
      </c>
      <c r="J349" s="9">
        <v>14</v>
      </c>
      <c r="K349" s="8" t="s">
        <v>42</v>
      </c>
      <c r="L349" t="s">
        <v>206</v>
      </c>
      <c r="M349" t="str">
        <f>VLOOKUP(E349,Price!$A$2:$C$9,3,)</f>
        <v>$28.00</v>
      </c>
      <c r="N349">
        <f t="shared" si="33"/>
        <v>756</v>
      </c>
      <c r="O349">
        <f t="shared" si="34"/>
        <v>392</v>
      </c>
      <c r="P349">
        <f t="shared" si="35"/>
        <v>364</v>
      </c>
      <c r="Q349" s="20">
        <f>Table1[[#This Row],[Profit ]]/Table1[[#This Row],[Total Revenue]]</f>
        <v>0.48148148148148145</v>
      </c>
    </row>
    <row r="350" spans="1:17" ht="15.75" thickBot="1" x14ac:dyDescent="0.3">
      <c r="A350" s="11">
        <v>46301</v>
      </c>
      <c r="B350" s="17" t="str">
        <f t="shared" si="30"/>
        <v>6301</v>
      </c>
      <c r="C350" s="17" t="str">
        <f t="shared" si="31"/>
        <v>01</v>
      </c>
      <c r="D350" s="17" t="str">
        <f t="shared" si="32"/>
        <v>Oct</v>
      </c>
      <c r="E350" s="5" t="s">
        <v>97</v>
      </c>
      <c r="F350" s="5" t="s">
        <v>90</v>
      </c>
      <c r="G350" s="5" t="s">
        <v>43</v>
      </c>
      <c r="H350" s="5" t="s">
        <v>63</v>
      </c>
      <c r="I350" s="5" t="s">
        <v>103</v>
      </c>
      <c r="J350" s="6">
        <v>1</v>
      </c>
      <c r="K350" s="5" t="s">
        <v>42</v>
      </c>
      <c r="L350" t="s">
        <v>206</v>
      </c>
      <c r="M350" t="str">
        <f>VLOOKUP(E350,Price!$A$2:$C$9,3,)</f>
        <v>$28.00</v>
      </c>
      <c r="N350">
        <f t="shared" si="33"/>
        <v>54</v>
      </c>
      <c r="O350">
        <f t="shared" si="34"/>
        <v>28</v>
      </c>
      <c r="P350">
        <f t="shared" si="35"/>
        <v>26</v>
      </c>
      <c r="Q350" s="20">
        <f>Table1[[#This Row],[Profit ]]/Table1[[#This Row],[Total Revenue]]</f>
        <v>0.48148148148148145</v>
      </c>
    </row>
    <row r="351" spans="1:17" ht="15.75" thickBot="1" x14ac:dyDescent="0.3">
      <c r="A351" s="10" t="s">
        <v>155</v>
      </c>
      <c r="B351" s="16" t="str">
        <f t="shared" si="30"/>
        <v>2026</v>
      </c>
      <c r="C351" s="16" t="str">
        <f t="shared" si="31"/>
        <v>27</v>
      </c>
      <c r="D351" s="16" t="str">
        <f t="shared" si="32"/>
        <v>Feb</v>
      </c>
      <c r="E351" s="5" t="s">
        <v>74</v>
      </c>
      <c r="F351" s="5" t="s">
        <v>62</v>
      </c>
      <c r="G351" s="8" t="s">
        <v>11</v>
      </c>
      <c r="H351" s="5" t="s">
        <v>138</v>
      </c>
      <c r="I351" s="8" t="s">
        <v>33</v>
      </c>
      <c r="J351" s="9">
        <v>11</v>
      </c>
      <c r="K351" s="8" t="s">
        <v>19</v>
      </c>
      <c r="L351" t="s">
        <v>204</v>
      </c>
      <c r="M351" t="str">
        <f>VLOOKUP(E351,Price!$A$2:$C$9,3,)</f>
        <v>$47.00</v>
      </c>
      <c r="N351">
        <f t="shared" si="33"/>
        <v>979</v>
      </c>
      <c r="O351">
        <f t="shared" si="34"/>
        <v>517</v>
      </c>
      <c r="P351">
        <f t="shared" si="35"/>
        <v>462</v>
      </c>
      <c r="Q351" s="20">
        <f>Table1[[#This Row],[Profit ]]/Table1[[#This Row],[Total Revenue]]</f>
        <v>0.47191011235955055</v>
      </c>
    </row>
    <row r="352" spans="1:17" ht="15.75" thickBot="1" x14ac:dyDescent="0.3">
      <c r="A352" s="11" t="s">
        <v>183</v>
      </c>
      <c r="B352" s="17" t="str">
        <f t="shared" si="30"/>
        <v>2026</v>
      </c>
      <c r="C352" s="17" t="str">
        <f t="shared" si="31"/>
        <v>28</v>
      </c>
      <c r="D352" s="17" t="str">
        <f t="shared" si="32"/>
        <v>Jun</v>
      </c>
      <c r="E352" s="5" t="s">
        <v>80</v>
      </c>
      <c r="F352" s="5" t="s">
        <v>35</v>
      </c>
      <c r="G352" s="5" t="s">
        <v>36</v>
      </c>
      <c r="H352" s="5" t="s">
        <v>138</v>
      </c>
      <c r="I352" s="5" t="s">
        <v>13</v>
      </c>
      <c r="J352" s="6">
        <v>8</v>
      </c>
      <c r="K352" s="5" t="s">
        <v>19</v>
      </c>
      <c r="L352" t="s">
        <v>210</v>
      </c>
      <c r="M352" t="str">
        <f>VLOOKUP(E352,Price!$A$2:$C$9,3,)</f>
        <v>$39.00</v>
      </c>
      <c r="N352">
        <f t="shared" si="33"/>
        <v>608</v>
      </c>
      <c r="O352">
        <f t="shared" si="34"/>
        <v>312</v>
      </c>
      <c r="P352">
        <f t="shared" si="35"/>
        <v>296</v>
      </c>
      <c r="Q352" s="20">
        <f>Table1[[#This Row],[Profit ]]/Table1[[#This Row],[Total Revenue]]</f>
        <v>0.48684210526315791</v>
      </c>
    </row>
    <row r="353" spans="1:17" ht="15.75" thickBot="1" x14ac:dyDescent="0.3">
      <c r="A353" s="10">
        <v>46144</v>
      </c>
      <c r="B353" s="16" t="str">
        <f t="shared" si="30"/>
        <v>6144</v>
      </c>
      <c r="C353" s="16" t="str">
        <f t="shared" si="31"/>
        <v>44</v>
      </c>
      <c r="D353" s="16" t="str">
        <f t="shared" si="32"/>
        <v>Nov</v>
      </c>
      <c r="E353" s="5" t="s">
        <v>74</v>
      </c>
      <c r="F353" s="5" t="s">
        <v>35</v>
      </c>
      <c r="G353" s="8" t="s">
        <v>43</v>
      </c>
      <c r="H353" s="5" t="s">
        <v>52</v>
      </c>
      <c r="I353" s="8" t="s">
        <v>53</v>
      </c>
      <c r="J353" s="9">
        <v>13</v>
      </c>
      <c r="K353" s="8" t="s">
        <v>42</v>
      </c>
      <c r="L353" t="s">
        <v>204</v>
      </c>
      <c r="M353" t="str">
        <f>VLOOKUP(E353,Price!$A$2:$C$9,3,)</f>
        <v>$47.00</v>
      </c>
      <c r="N353">
        <f t="shared" si="33"/>
        <v>1157</v>
      </c>
      <c r="O353">
        <f t="shared" si="34"/>
        <v>611</v>
      </c>
      <c r="P353">
        <f t="shared" si="35"/>
        <v>546</v>
      </c>
      <c r="Q353" s="20">
        <f>Table1[[#This Row],[Profit ]]/Table1[[#This Row],[Total Revenue]]</f>
        <v>0.47191011235955055</v>
      </c>
    </row>
    <row r="354" spans="1:17" ht="15.75" thickBot="1" x14ac:dyDescent="0.3">
      <c r="A354" s="11" t="s">
        <v>184</v>
      </c>
      <c r="B354" s="17" t="str">
        <f t="shared" si="30"/>
        <v>2026</v>
      </c>
      <c r="C354" s="17" t="str">
        <f t="shared" si="31"/>
        <v>17</v>
      </c>
      <c r="D354" s="17" t="str">
        <f t="shared" si="32"/>
        <v>Apr</v>
      </c>
      <c r="E354" s="5" t="s">
        <v>118</v>
      </c>
      <c r="F354" s="5" t="s">
        <v>35</v>
      </c>
      <c r="G354" s="5" t="s">
        <v>11</v>
      </c>
      <c r="H354" s="5" t="s">
        <v>138</v>
      </c>
      <c r="I354" s="5" t="s">
        <v>33</v>
      </c>
      <c r="J354" s="6">
        <v>6</v>
      </c>
      <c r="K354" s="5" t="s">
        <v>14</v>
      </c>
      <c r="L354" t="s">
        <v>218</v>
      </c>
      <c r="M354" t="str">
        <f>VLOOKUP(E354,Price!$A$2:$C$9,3,)</f>
        <v>$67.00</v>
      </c>
      <c r="N354">
        <f t="shared" si="33"/>
        <v>714</v>
      </c>
      <c r="O354">
        <f t="shared" si="34"/>
        <v>402</v>
      </c>
      <c r="P354">
        <f t="shared" si="35"/>
        <v>312</v>
      </c>
      <c r="Q354" s="20">
        <f>Table1[[#This Row],[Profit ]]/Table1[[#This Row],[Total Revenue]]</f>
        <v>0.43697478991596639</v>
      </c>
    </row>
    <row r="355" spans="1:17" ht="15.75" thickBot="1" x14ac:dyDescent="0.3">
      <c r="A355" s="10">
        <v>46242</v>
      </c>
      <c r="B355" s="16" t="str">
        <f t="shared" si="30"/>
        <v>6242</v>
      </c>
      <c r="C355" s="16" t="str">
        <f t="shared" si="31"/>
        <v>42</v>
      </c>
      <c r="D355" s="16" t="str">
        <f t="shared" si="32"/>
        <v>Nov</v>
      </c>
      <c r="E355" s="5" t="s">
        <v>140</v>
      </c>
      <c r="F355" s="5" t="s">
        <v>90</v>
      </c>
      <c r="G355" s="8" t="s">
        <v>11</v>
      </c>
      <c r="H355" s="5" t="s">
        <v>63</v>
      </c>
      <c r="I355" s="8" t="s">
        <v>13</v>
      </c>
      <c r="J355" s="9">
        <v>8</v>
      </c>
      <c r="K355" s="8" t="s">
        <v>14</v>
      </c>
      <c r="L355" t="s">
        <v>216</v>
      </c>
      <c r="M355" t="str">
        <f>VLOOKUP(E355,Price!$A$2:$C$9,3,)</f>
        <v>$64.00</v>
      </c>
      <c r="N355">
        <f t="shared" si="33"/>
        <v>896</v>
      </c>
      <c r="O355">
        <f t="shared" si="34"/>
        <v>512</v>
      </c>
      <c r="P355">
        <f t="shared" si="35"/>
        <v>384</v>
      </c>
      <c r="Q355" s="20">
        <f>Table1[[#This Row],[Profit ]]/Table1[[#This Row],[Total Revenue]]</f>
        <v>0.42857142857142855</v>
      </c>
    </row>
    <row r="356" spans="1:17" ht="15.75" thickBot="1" x14ac:dyDescent="0.3">
      <c r="A356" s="11">
        <v>46357</v>
      </c>
      <c r="B356" s="17" t="str">
        <f t="shared" si="30"/>
        <v>6357</v>
      </c>
      <c r="C356" s="17" t="str">
        <f t="shared" si="31"/>
        <v>57</v>
      </c>
      <c r="D356" s="17" t="str">
        <f t="shared" si="32"/>
        <v>Nov</v>
      </c>
      <c r="E356" s="5" t="s">
        <v>97</v>
      </c>
      <c r="F356" s="5" t="s">
        <v>10</v>
      </c>
      <c r="G356" s="5" t="s">
        <v>36</v>
      </c>
      <c r="H356" s="5" t="s">
        <v>12</v>
      </c>
      <c r="I356" s="5" t="s">
        <v>41</v>
      </c>
      <c r="J356" s="6">
        <v>13</v>
      </c>
      <c r="K356" s="5" t="s">
        <v>50</v>
      </c>
      <c r="L356" t="s">
        <v>206</v>
      </c>
      <c r="M356" t="str">
        <f>VLOOKUP(E356,Price!$A$2:$C$9,3,)</f>
        <v>$28.00</v>
      </c>
      <c r="N356">
        <f t="shared" si="33"/>
        <v>702</v>
      </c>
      <c r="O356">
        <f t="shared" si="34"/>
        <v>364</v>
      </c>
      <c r="P356">
        <f t="shared" si="35"/>
        <v>338</v>
      </c>
      <c r="Q356" s="20">
        <f>Table1[[#This Row],[Profit ]]/Table1[[#This Row],[Total Revenue]]</f>
        <v>0.48148148148148145</v>
      </c>
    </row>
    <row r="357" spans="1:17" ht="15.75" thickBot="1" x14ac:dyDescent="0.3">
      <c r="A357" s="10" t="s">
        <v>146</v>
      </c>
      <c r="B357" s="16" t="str">
        <f t="shared" si="30"/>
        <v>2026</v>
      </c>
      <c r="C357" s="16" t="str">
        <f t="shared" si="31"/>
        <v>15</v>
      </c>
      <c r="D357" s="16" t="str">
        <f t="shared" si="32"/>
        <v>Jul</v>
      </c>
      <c r="E357" s="5" t="s">
        <v>74</v>
      </c>
      <c r="F357" s="5" t="s">
        <v>10</v>
      </c>
      <c r="G357" s="8" t="s">
        <v>43</v>
      </c>
      <c r="H357" s="5" t="s">
        <v>63</v>
      </c>
      <c r="I357" s="8" t="s">
        <v>47</v>
      </c>
      <c r="J357" s="9">
        <v>6</v>
      </c>
      <c r="K357" s="8" t="s">
        <v>14</v>
      </c>
      <c r="L357" t="s">
        <v>204</v>
      </c>
      <c r="M357" t="str">
        <f>VLOOKUP(E357,Price!$A$2:$C$9,3,)</f>
        <v>$47.00</v>
      </c>
      <c r="N357">
        <f t="shared" si="33"/>
        <v>534</v>
      </c>
      <c r="O357">
        <f t="shared" si="34"/>
        <v>282</v>
      </c>
      <c r="P357">
        <f t="shared" si="35"/>
        <v>252</v>
      </c>
      <c r="Q357" s="20">
        <f>Table1[[#This Row],[Profit ]]/Table1[[#This Row],[Total Revenue]]</f>
        <v>0.47191011235955055</v>
      </c>
    </row>
    <row r="358" spans="1:17" ht="15.75" thickBot="1" x14ac:dyDescent="0.3">
      <c r="A358" s="11" t="s">
        <v>165</v>
      </c>
      <c r="B358" s="17" t="str">
        <f t="shared" si="30"/>
        <v>2026</v>
      </c>
      <c r="C358" s="17" t="str">
        <f t="shared" si="31"/>
        <v>14</v>
      </c>
      <c r="D358" s="17" t="str">
        <f t="shared" si="32"/>
        <v>Apr</v>
      </c>
      <c r="E358" s="5" t="s">
        <v>72</v>
      </c>
      <c r="F358" s="5" t="s">
        <v>10</v>
      </c>
      <c r="G358" s="5" t="s">
        <v>43</v>
      </c>
      <c r="H358" s="5" t="s">
        <v>12</v>
      </c>
      <c r="I358" s="5" t="s">
        <v>64</v>
      </c>
      <c r="J358" s="6">
        <v>5</v>
      </c>
      <c r="K358" s="5" t="s">
        <v>50</v>
      </c>
      <c r="L358" t="s">
        <v>214</v>
      </c>
      <c r="M358" t="str">
        <f>VLOOKUP(E358,Price!$A$2:$C$9,3,)</f>
        <v>$58.00</v>
      </c>
      <c r="N358">
        <f t="shared" si="33"/>
        <v>525</v>
      </c>
      <c r="O358">
        <f t="shared" si="34"/>
        <v>290</v>
      </c>
      <c r="P358">
        <f t="shared" si="35"/>
        <v>235</v>
      </c>
      <c r="Q358" s="20">
        <f>Table1[[#This Row],[Profit ]]/Table1[[#This Row],[Total Revenue]]</f>
        <v>0.44761904761904764</v>
      </c>
    </row>
    <row r="359" spans="1:17" ht="15.75" thickBot="1" x14ac:dyDescent="0.3">
      <c r="A359" s="10">
        <v>46029</v>
      </c>
      <c r="B359" s="16" t="str">
        <f t="shared" si="30"/>
        <v>6029</v>
      </c>
      <c r="C359" s="16" t="str">
        <f t="shared" si="31"/>
        <v>29</v>
      </c>
      <c r="D359" s="16" t="str">
        <f t="shared" si="32"/>
        <v>Oct</v>
      </c>
      <c r="E359" s="5" t="s">
        <v>21</v>
      </c>
      <c r="F359" s="5" t="s">
        <v>90</v>
      </c>
      <c r="G359" s="8" t="s">
        <v>17</v>
      </c>
      <c r="H359" s="5" t="s">
        <v>12</v>
      </c>
      <c r="I359" s="8" t="s">
        <v>73</v>
      </c>
      <c r="J359" s="9">
        <v>4</v>
      </c>
      <c r="K359" s="8" t="s">
        <v>50</v>
      </c>
      <c r="L359" t="s">
        <v>208</v>
      </c>
      <c r="M359" t="str">
        <f>VLOOKUP(E359,Price!$A$2:$C$9,3,)</f>
        <v>$14.00</v>
      </c>
      <c r="N359">
        <f t="shared" si="33"/>
        <v>128</v>
      </c>
      <c r="O359">
        <f t="shared" si="34"/>
        <v>56</v>
      </c>
      <c r="P359">
        <f t="shared" si="35"/>
        <v>72</v>
      </c>
      <c r="Q359" s="20">
        <f>Table1[[#This Row],[Profit ]]/Table1[[#This Row],[Total Revenue]]</f>
        <v>0.5625</v>
      </c>
    </row>
    <row r="360" spans="1:17" ht="15.75" thickBot="1" x14ac:dyDescent="0.3">
      <c r="A360" s="11" t="s">
        <v>185</v>
      </c>
      <c r="B360" s="17" t="str">
        <f t="shared" si="30"/>
        <v>2026</v>
      </c>
      <c r="C360" s="17" t="str">
        <f t="shared" si="31"/>
        <v>17</v>
      </c>
      <c r="D360" s="17" t="str">
        <f t="shared" si="32"/>
        <v>May</v>
      </c>
      <c r="E360" s="5" t="s">
        <v>74</v>
      </c>
      <c r="F360" s="5" t="s">
        <v>35</v>
      </c>
      <c r="G360" s="5" t="s">
        <v>23</v>
      </c>
      <c r="H360" s="5" t="s">
        <v>52</v>
      </c>
      <c r="I360" s="5" t="s">
        <v>47</v>
      </c>
      <c r="J360" s="6">
        <v>3</v>
      </c>
      <c r="K360" s="5" t="s">
        <v>14</v>
      </c>
      <c r="L360" t="s">
        <v>204</v>
      </c>
      <c r="M360" t="str">
        <f>VLOOKUP(E360,Price!$A$2:$C$9,3,)</f>
        <v>$47.00</v>
      </c>
      <c r="N360">
        <f t="shared" si="33"/>
        <v>267</v>
      </c>
      <c r="O360">
        <f t="shared" si="34"/>
        <v>141</v>
      </c>
      <c r="P360">
        <f t="shared" si="35"/>
        <v>126</v>
      </c>
      <c r="Q360" s="20">
        <f>Table1[[#This Row],[Profit ]]/Table1[[#This Row],[Total Revenue]]</f>
        <v>0.47191011235955055</v>
      </c>
    </row>
    <row r="361" spans="1:17" ht="15.75" thickBot="1" x14ac:dyDescent="0.3">
      <c r="A361" s="10" t="s">
        <v>29</v>
      </c>
      <c r="B361" s="16" t="str">
        <f t="shared" si="30"/>
        <v>2026</v>
      </c>
      <c r="C361" s="16" t="str">
        <f t="shared" si="31"/>
        <v>18</v>
      </c>
      <c r="D361" s="16" t="str">
        <f t="shared" si="32"/>
        <v>Apr</v>
      </c>
      <c r="E361" s="5" t="s">
        <v>118</v>
      </c>
      <c r="F361" s="5" t="s">
        <v>10</v>
      </c>
      <c r="G361" s="8" t="s">
        <v>36</v>
      </c>
      <c r="H361" s="5" t="s">
        <v>52</v>
      </c>
      <c r="I361" s="8" t="s">
        <v>41</v>
      </c>
      <c r="J361" s="9">
        <v>5</v>
      </c>
      <c r="K361" s="8" t="s">
        <v>19</v>
      </c>
      <c r="L361" t="s">
        <v>218</v>
      </c>
      <c r="M361" t="str">
        <f>VLOOKUP(E361,Price!$A$2:$C$9,3,)</f>
        <v>$67.00</v>
      </c>
      <c r="N361">
        <f t="shared" si="33"/>
        <v>595</v>
      </c>
      <c r="O361">
        <f t="shared" si="34"/>
        <v>335</v>
      </c>
      <c r="P361">
        <f t="shared" si="35"/>
        <v>260</v>
      </c>
      <c r="Q361" s="20">
        <f>Table1[[#This Row],[Profit ]]/Table1[[#This Row],[Total Revenue]]</f>
        <v>0.43697478991596639</v>
      </c>
    </row>
    <row r="362" spans="1:17" ht="15.75" thickBot="1" x14ac:dyDescent="0.3">
      <c r="A362" s="11" t="s">
        <v>162</v>
      </c>
      <c r="B362" s="17" t="str">
        <f t="shared" si="30"/>
        <v>2026</v>
      </c>
      <c r="C362" s="17" t="str">
        <f t="shared" si="31"/>
        <v>21</v>
      </c>
      <c r="D362" s="17" t="str">
        <f t="shared" si="32"/>
        <v>Jul</v>
      </c>
      <c r="E362" s="5" t="s">
        <v>21</v>
      </c>
      <c r="F362" s="5" t="s">
        <v>10</v>
      </c>
      <c r="G362" s="5" t="s">
        <v>23</v>
      </c>
      <c r="H362" s="5" t="s">
        <v>63</v>
      </c>
      <c r="I362" s="5" t="s">
        <v>38</v>
      </c>
      <c r="J362" s="6">
        <v>4</v>
      </c>
      <c r="K362" s="5" t="s">
        <v>19</v>
      </c>
      <c r="L362" t="s">
        <v>208</v>
      </c>
      <c r="M362" t="str">
        <f>VLOOKUP(E362,Price!$A$2:$C$9,3,)</f>
        <v>$14.00</v>
      </c>
      <c r="N362">
        <f t="shared" si="33"/>
        <v>128</v>
      </c>
      <c r="O362">
        <f t="shared" si="34"/>
        <v>56</v>
      </c>
      <c r="P362">
        <f t="shared" si="35"/>
        <v>72</v>
      </c>
      <c r="Q362" s="20">
        <f>Table1[[#This Row],[Profit ]]/Table1[[#This Row],[Total Revenue]]</f>
        <v>0.5625</v>
      </c>
    </row>
    <row r="363" spans="1:17" ht="15.75" thickBot="1" x14ac:dyDescent="0.3">
      <c r="A363" s="10">
        <v>46242</v>
      </c>
      <c r="B363" s="16" t="str">
        <f t="shared" si="30"/>
        <v>6242</v>
      </c>
      <c r="C363" s="16" t="str">
        <f t="shared" si="31"/>
        <v>42</v>
      </c>
      <c r="D363" s="16" t="str">
        <f t="shared" si="32"/>
        <v>Nov</v>
      </c>
      <c r="E363" s="5" t="s">
        <v>21</v>
      </c>
      <c r="F363" s="5" t="s">
        <v>62</v>
      </c>
      <c r="G363" s="8" t="s">
        <v>43</v>
      </c>
      <c r="H363" s="5" t="s">
        <v>52</v>
      </c>
      <c r="I363" s="8" t="s">
        <v>41</v>
      </c>
      <c r="J363" s="9">
        <v>7</v>
      </c>
      <c r="K363" s="8" t="s">
        <v>19</v>
      </c>
      <c r="L363" t="s">
        <v>208</v>
      </c>
      <c r="M363" t="str">
        <f>VLOOKUP(E363,Price!$A$2:$C$9,3,)</f>
        <v>$14.00</v>
      </c>
      <c r="N363">
        <f t="shared" si="33"/>
        <v>224</v>
      </c>
      <c r="O363">
        <f t="shared" si="34"/>
        <v>98</v>
      </c>
      <c r="P363">
        <f t="shared" si="35"/>
        <v>126</v>
      </c>
      <c r="Q363" s="20">
        <f>Table1[[#This Row],[Profit ]]/Table1[[#This Row],[Total Revenue]]</f>
        <v>0.5625</v>
      </c>
    </row>
    <row r="364" spans="1:17" ht="15.75" thickBot="1" x14ac:dyDescent="0.3">
      <c r="A364" s="11">
        <v>46057</v>
      </c>
      <c r="B364" s="17" t="str">
        <f t="shared" si="30"/>
        <v>6057</v>
      </c>
      <c r="C364" s="17" t="str">
        <f t="shared" si="31"/>
        <v>57</v>
      </c>
      <c r="D364" s="17" t="str">
        <f t="shared" si="32"/>
        <v>Nov</v>
      </c>
      <c r="E364" s="5" t="s">
        <v>97</v>
      </c>
      <c r="F364" s="5" t="s">
        <v>35</v>
      </c>
      <c r="G364" s="5" t="s">
        <v>23</v>
      </c>
      <c r="H364" s="5" t="s">
        <v>52</v>
      </c>
      <c r="I364" s="5" t="s">
        <v>41</v>
      </c>
      <c r="J364" s="6">
        <v>6</v>
      </c>
      <c r="K364" s="5" t="s">
        <v>19</v>
      </c>
      <c r="L364" t="s">
        <v>206</v>
      </c>
      <c r="M364" t="str">
        <f>VLOOKUP(E364,Price!$A$2:$C$9,3,)</f>
        <v>$28.00</v>
      </c>
      <c r="N364">
        <f t="shared" si="33"/>
        <v>324</v>
      </c>
      <c r="O364">
        <f t="shared" si="34"/>
        <v>168</v>
      </c>
      <c r="P364">
        <f t="shared" si="35"/>
        <v>156</v>
      </c>
      <c r="Q364" s="20">
        <f>Table1[[#This Row],[Profit ]]/Table1[[#This Row],[Total Revenue]]</f>
        <v>0.48148148148148145</v>
      </c>
    </row>
    <row r="365" spans="1:17" ht="15.75" thickBot="1" x14ac:dyDescent="0.3">
      <c r="A365" s="10" t="s">
        <v>186</v>
      </c>
      <c r="B365" s="16" t="str">
        <f t="shared" si="30"/>
        <v>2026</v>
      </c>
      <c r="C365" s="16" t="str">
        <f t="shared" si="31"/>
        <v>28</v>
      </c>
      <c r="D365" s="16" t="str">
        <f t="shared" si="32"/>
        <v>Jul</v>
      </c>
      <c r="E365" s="5" t="s">
        <v>21</v>
      </c>
      <c r="F365" s="5" t="s">
        <v>10</v>
      </c>
      <c r="G365" s="8" t="s">
        <v>43</v>
      </c>
      <c r="H365" s="5" t="s">
        <v>63</v>
      </c>
      <c r="I365" s="8" t="s">
        <v>49</v>
      </c>
      <c r="J365" s="9">
        <v>7</v>
      </c>
      <c r="K365" s="8" t="s">
        <v>42</v>
      </c>
      <c r="L365" t="s">
        <v>208</v>
      </c>
      <c r="M365" t="str">
        <f>VLOOKUP(E365,Price!$A$2:$C$9,3,)</f>
        <v>$14.00</v>
      </c>
      <c r="N365">
        <f t="shared" si="33"/>
        <v>224</v>
      </c>
      <c r="O365">
        <f t="shared" si="34"/>
        <v>98</v>
      </c>
      <c r="P365">
        <f t="shared" si="35"/>
        <v>126</v>
      </c>
      <c r="Q365" s="20">
        <f>Table1[[#This Row],[Profit ]]/Table1[[#This Row],[Total Revenue]]</f>
        <v>0.5625</v>
      </c>
    </row>
    <row r="366" spans="1:17" ht="15.75" thickBot="1" x14ac:dyDescent="0.3">
      <c r="A366" s="11">
        <v>46176</v>
      </c>
      <c r="B366" s="17" t="str">
        <f t="shared" si="30"/>
        <v>6176</v>
      </c>
      <c r="C366" s="17" t="str">
        <f t="shared" si="31"/>
        <v>76</v>
      </c>
      <c r="D366" s="17" t="str">
        <f t="shared" si="32"/>
        <v>Dec</v>
      </c>
      <c r="E366" s="5" t="s">
        <v>97</v>
      </c>
      <c r="F366" s="5" t="s">
        <v>10</v>
      </c>
      <c r="G366" s="5" t="s">
        <v>36</v>
      </c>
      <c r="H366" s="5" t="s">
        <v>67</v>
      </c>
      <c r="I366" s="5" t="s">
        <v>53</v>
      </c>
      <c r="J366" s="6">
        <v>12</v>
      </c>
      <c r="K366" s="5" t="s">
        <v>14</v>
      </c>
      <c r="L366" t="s">
        <v>206</v>
      </c>
      <c r="M366" t="str">
        <f>VLOOKUP(E366,Price!$A$2:$C$9,3,)</f>
        <v>$28.00</v>
      </c>
      <c r="N366">
        <f t="shared" si="33"/>
        <v>648</v>
      </c>
      <c r="O366">
        <f t="shared" si="34"/>
        <v>336</v>
      </c>
      <c r="P366">
        <f t="shared" si="35"/>
        <v>312</v>
      </c>
      <c r="Q366" s="20">
        <f>Table1[[#This Row],[Profit ]]/Table1[[#This Row],[Total Revenue]]</f>
        <v>0.48148148148148145</v>
      </c>
    </row>
    <row r="367" spans="1:17" ht="15.75" thickBot="1" x14ac:dyDescent="0.3">
      <c r="A367" s="10" t="s">
        <v>91</v>
      </c>
      <c r="B367" s="16" t="str">
        <f t="shared" si="30"/>
        <v>2026</v>
      </c>
      <c r="C367" s="16" t="str">
        <f t="shared" si="31"/>
        <v>25</v>
      </c>
      <c r="D367" s="16" t="str">
        <f t="shared" si="32"/>
        <v>Jul</v>
      </c>
      <c r="E367" s="5" t="s">
        <v>118</v>
      </c>
      <c r="F367" s="5" t="s">
        <v>62</v>
      </c>
      <c r="G367" s="8" t="s">
        <v>23</v>
      </c>
      <c r="H367" s="5" t="s">
        <v>63</v>
      </c>
      <c r="I367" s="8" t="s">
        <v>53</v>
      </c>
      <c r="J367" s="9">
        <v>10</v>
      </c>
      <c r="K367" s="8" t="s">
        <v>50</v>
      </c>
      <c r="L367" t="s">
        <v>218</v>
      </c>
      <c r="M367" t="str">
        <f>VLOOKUP(E367,Price!$A$2:$C$9,3,)</f>
        <v>$67.00</v>
      </c>
      <c r="N367">
        <f t="shared" si="33"/>
        <v>1190</v>
      </c>
      <c r="O367">
        <f t="shared" si="34"/>
        <v>670</v>
      </c>
      <c r="P367">
        <f t="shared" si="35"/>
        <v>520</v>
      </c>
      <c r="Q367" s="20">
        <f>Table1[[#This Row],[Profit ]]/Table1[[#This Row],[Total Revenue]]</f>
        <v>0.43697478991596639</v>
      </c>
    </row>
    <row r="368" spans="1:17" ht="15.75" thickBot="1" x14ac:dyDescent="0.3">
      <c r="A368" s="11" t="s">
        <v>125</v>
      </c>
      <c r="B368" s="17" t="str">
        <f t="shared" si="30"/>
        <v>2026</v>
      </c>
      <c r="C368" s="17" t="str">
        <f t="shared" si="31"/>
        <v>20</v>
      </c>
      <c r="D368" s="17" t="str">
        <f t="shared" si="32"/>
        <v>Jul</v>
      </c>
      <c r="E368" s="5" t="s">
        <v>97</v>
      </c>
      <c r="F368" s="5" t="s">
        <v>10</v>
      </c>
      <c r="G368" s="5" t="s">
        <v>43</v>
      </c>
      <c r="H368" s="5" t="s">
        <v>52</v>
      </c>
      <c r="I368" s="5" t="s">
        <v>33</v>
      </c>
      <c r="J368" s="6">
        <v>6</v>
      </c>
      <c r="K368" s="5" t="s">
        <v>19</v>
      </c>
      <c r="L368" t="s">
        <v>206</v>
      </c>
      <c r="M368" t="str">
        <f>VLOOKUP(E368,Price!$A$2:$C$9,3,)</f>
        <v>$28.00</v>
      </c>
      <c r="N368">
        <f t="shared" si="33"/>
        <v>324</v>
      </c>
      <c r="O368">
        <f t="shared" si="34"/>
        <v>168</v>
      </c>
      <c r="P368">
        <f t="shared" si="35"/>
        <v>156</v>
      </c>
      <c r="Q368" s="20">
        <f>Table1[[#This Row],[Profit ]]/Table1[[#This Row],[Total Revenue]]</f>
        <v>0.48148148148148145</v>
      </c>
    </row>
    <row r="369" spans="1:17" ht="15.75" thickBot="1" x14ac:dyDescent="0.3">
      <c r="A369" s="10" t="s">
        <v>145</v>
      </c>
      <c r="B369" s="16" t="str">
        <f t="shared" si="30"/>
        <v>2026</v>
      </c>
      <c r="C369" s="16" t="str">
        <f t="shared" si="31"/>
        <v>25</v>
      </c>
      <c r="D369" s="16" t="str">
        <f t="shared" si="32"/>
        <v>Mar</v>
      </c>
      <c r="E369" s="5" t="s">
        <v>21</v>
      </c>
      <c r="F369" s="5" t="s">
        <v>10</v>
      </c>
      <c r="G369" s="8" t="s">
        <v>36</v>
      </c>
      <c r="H369" s="5" t="s">
        <v>138</v>
      </c>
      <c r="I369" s="8" t="s">
        <v>33</v>
      </c>
      <c r="J369" s="9">
        <v>15</v>
      </c>
      <c r="K369" s="8" t="s">
        <v>42</v>
      </c>
      <c r="L369" t="s">
        <v>208</v>
      </c>
      <c r="M369" t="str">
        <f>VLOOKUP(E369,Price!$A$2:$C$9,3,)</f>
        <v>$14.00</v>
      </c>
      <c r="N369">
        <f t="shared" si="33"/>
        <v>480</v>
      </c>
      <c r="O369">
        <f t="shared" si="34"/>
        <v>210</v>
      </c>
      <c r="P369">
        <f t="shared" si="35"/>
        <v>270</v>
      </c>
      <c r="Q369" s="20">
        <f>Table1[[#This Row],[Profit ]]/Table1[[#This Row],[Total Revenue]]</f>
        <v>0.5625</v>
      </c>
    </row>
    <row r="370" spans="1:17" ht="15.75" thickBot="1" x14ac:dyDescent="0.3">
      <c r="A370" s="11" t="s">
        <v>77</v>
      </c>
      <c r="B370" s="17" t="str">
        <f t="shared" si="30"/>
        <v>2026</v>
      </c>
      <c r="C370" s="17" t="str">
        <f t="shared" si="31"/>
        <v>28</v>
      </c>
      <c r="D370" s="17" t="str">
        <f t="shared" si="32"/>
        <v>Jan</v>
      </c>
      <c r="E370" s="5" t="s">
        <v>34</v>
      </c>
      <c r="F370" s="5" t="s">
        <v>10</v>
      </c>
      <c r="G370" s="5" t="s">
        <v>11</v>
      </c>
      <c r="H370" s="5" t="s">
        <v>67</v>
      </c>
      <c r="I370" s="5" t="s">
        <v>73</v>
      </c>
      <c r="J370" s="6">
        <v>3</v>
      </c>
      <c r="K370" s="5" t="s">
        <v>50</v>
      </c>
      <c r="L370" t="s">
        <v>212</v>
      </c>
      <c r="M370" t="str">
        <f>VLOOKUP(E370,Price!$A$2:$C$9,3,)</f>
        <v>$72.00</v>
      </c>
      <c r="N370">
        <f t="shared" si="33"/>
        <v>384</v>
      </c>
      <c r="O370">
        <f t="shared" si="34"/>
        <v>216</v>
      </c>
      <c r="P370">
        <f t="shared" si="35"/>
        <v>168</v>
      </c>
      <c r="Q370" s="20">
        <f>Table1[[#This Row],[Profit ]]/Table1[[#This Row],[Total Revenue]]</f>
        <v>0.4375</v>
      </c>
    </row>
    <row r="371" spans="1:17" ht="15.75" thickBot="1" x14ac:dyDescent="0.3">
      <c r="A371" s="10">
        <v>46146</v>
      </c>
      <c r="B371" s="16" t="str">
        <f t="shared" si="30"/>
        <v>6146</v>
      </c>
      <c r="C371" s="16" t="str">
        <f t="shared" si="31"/>
        <v>46</v>
      </c>
      <c r="D371" s="16" t="str">
        <f t="shared" si="32"/>
        <v>Nov</v>
      </c>
      <c r="E371" s="5" t="s">
        <v>118</v>
      </c>
      <c r="F371" s="5" t="s">
        <v>62</v>
      </c>
      <c r="G371" s="8" t="s">
        <v>17</v>
      </c>
      <c r="H371" s="5" t="s">
        <v>138</v>
      </c>
      <c r="I371" s="8" t="s">
        <v>28</v>
      </c>
      <c r="J371" s="9">
        <v>1</v>
      </c>
      <c r="K371" s="8" t="s">
        <v>19</v>
      </c>
      <c r="L371" t="s">
        <v>218</v>
      </c>
      <c r="M371" t="str">
        <f>VLOOKUP(E371,Price!$A$2:$C$9,3,)</f>
        <v>$67.00</v>
      </c>
      <c r="N371">
        <f t="shared" si="33"/>
        <v>119</v>
      </c>
      <c r="O371">
        <f t="shared" si="34"/>
        <v>67</v>
      </c>
      <c r="P371">
        <f t="shared" si="35"/>
        <v>52</v>
      </c>
      <c r="Q371" s="20">
        <f>Table1[[#This Row],[Profit ]]/Table1[[#This Row],[Total Revenue]]</f>
        <v>0.43697478991596639</v>
      </c>
    </row>
    <row r="372" spans="1:17" ht="15.75" thickBot="1" x14ac:dyDescent="0.3">
      <c r="A372" s="11">
        <v>46364</v>
      </c>
      <c r="B372" s="17" t="str">
        <f t="shared" si="30"/>
        <v>6364</v>
      </c>
      <c r="C372" s="17" t="str">
        <f t="shared" si="31"/>
        <v>64</v>
      </c>
      <c r="D372" s="17" t="str">
        <f t="shared" si="32"/>
        <v>Dec</v>
      </c>
      <c r="E372" s="5" t="s">
        <v>34</v>
      </c>
      <c r="F372" s="5" t="s">
        <v>10</v>
      </c>
      <c r="G372" s="5" t="s">
        <v>17</v>
      </c>
      <c r="H372" s="5" t="s">
        <v>52</v>
      </c>
      <c r="I372" s="5" t="s">
        <v>53</v>
      </c>
      <c r="J372" s="6">
        <v>9</v>
      </c>
      <c r="K372" s="5" t="s">
        <v>14</v>
      </c>
      <c r="L372" t="s">
        <v>212</v>
      </c>
      <c r="M372" t="str">
        <f>VLOOKUP(E372,Price!$A$2:$C$9,3,)</f>
        <v>$72.00</v>
      </c>
      <c r="N372">
        <f t="shared" si="33"/>
        <v>1152</v>
      </c>
      <c r="O372">
        <f t="shared" si="34"/>
        <v>648</v>
      </c>
      <c r="P372">
        <f t="shared" si="35"/>
        <v>504</v>
      </c>
      <c r="Q372" s="20">
        <f>Table1[[#This Row],[Profit ]]/Table1[[#This Row],[Total Revenue]]</f>
        <v>0.4375</v>
      </c>
    </row>
    <row r="373" spans="1:17" ht="15.75" thickBot="1" x14ac:dyDescent="0.3">
      <c r="A373" s="10" t="s">
        <v>15</v>
      </c>
      <c r="B373" s="16" t="str">
        <f t="shared" si="30"/>
        <v>2026</v>
      </c>
      <c r="C373" s="16" t="str">
        <f t="shared" si="31"/>
        <v>26</v>
      </c>
      <c r="D373" s="16" t="str">
        <f t="shared" si="32"/>
        <v>Jun</v>
      </c>
      <c r="E373" s="5" t="s">
        <v>72</v>
      </c>
      <c r="F373" s="5" t="s">
        <v>10</v>
      </c>
      <c r="G373" s="8" t="s">
        <v>11</v>
      </c>
      <c r="H373" s="5" t="s">
        <v>63</v>
      </c>
      <c r="I373" s="8" t="s">
        <v>64</v>
      </c>
      <c r="J373" s="9">
        <v>7</v>
      </c>
      <c r="K373" s="8" t="s">
        <v>19</v>
      </c>
      <c r="L373" t="s">
        <v>214</v>
      </c>
      <c r="M373" t="str">
        <f>VLOOKUP(E373,Price!$A$2:$C$9,3,)</f>
        <v>$58.00</v>
      </c>
      <c r="N373">
        <f t="shared" si="33"/>
        <v>735</v>
      </c>
      <c r="O373">
        <f t="shared" si="34"/>
        <v>406</v>
      </c>
      <c r="P373">
        <f t="shared" si="35"/>
        <v>329</v>
      </c>
      <c r="Q373" s="20">
        <f>Table1[[#This Row],[Profit ]]/Table1[[#This Row],[Total Revenue]]</f>
        <v>0.44761904761904764</v>
      </c>
    </row>
    <row r="374" spans="1:17" ht="15.75" thickBot="1" x14ac:dyDescent="0.3">
      <c r="A374" s="11" t="s">
        <v>187</v>
      </c>
      <c r="B374" s="17" t="str">
        <f t="shared" si="30"/>
        <v>2026</v>
      </c>
      <c r="C374" s="17" t="str">
        <f t="shared" si="31"/>
        <v>28</v>
      </c>
      <c r="D374" s="17" t="str">
        <f t="shared" si="32"/>
        <v>May</v>
      </c>
      <c r="E374" s="5" t="s">
        <v>74</v>
      </c>
      <c r="F374" s="5" t="s">
        <v>10</v>
      </c>
      <c r="G374" s="5" t="s">
        <v>43</v>
      </c>
      <c r="H374" s="5" t="s">
        <v>52</v>
      </c>
      <c r="I374" s="5" t="s">
        <v>56</v>
      </c>
      <c r="J374" s="6">
        <v>4</v>
      </c>
      <c r="K374" s="5" t="s">
        <v>42</v>
      </c>
      <c r="L374" t="s">
        <v>204</v>
      </c>
      <c r="M374" t="str">
        <f>VLOOKUP(E374,Price!$A$2:$C$9,3,)</f>
        <v>$47.00</v>
      </c>
      <c r="N374">
        <f t="shared" si="33"/>
        <v>356</v>
      </c>
      <c r="O374">
        <f t="shared" si="34"/>
        <v>188</v>
      </c>
      <c r="P374">
        <f t="shared" si="35"/>
        <v>168</v>
      </c>
      <c r="Q374" s="20">
        <f>Table1[[#This Row],[Profit ]]/Table1[[#This Row],[Total Revenue]]</f>
        <v>0.47191011235955055</v>
      </c>
    </row>
    <row r="375" spans="1:17" ht="15.75" thickBot="1" x14ac:dyDescent="0.3">
      <c r="A375" s="10">
        <v>46267</v>
      </c>
      <c r="B375" s="16" t="str">
        <f t="shared" si="30"/>
        <v>6267</v>
      </c>
      <c r="C375" s="16" t="str">
        <f t="shared" si="31"/>
        <v>67</v>
      </c>
      <c r="D375" s="16" t="str">
        <f t="shared" si="32"/>
        <v>Dec</v>
      </c>
      <c r="E375" s="5" t="s">
        <v>118</v>
      </c>
      <c r="F375" s="5" t="s">
        <v>90</v>
      </c>
      <c r="G375" s="8" t="s">
        <v>43</v>
      </c>
      <c r="H375" s="5" t="s">
        <v>67</v>
      </c>
      <c r="I375" s="8" t="s">
        <v>49</v>
      </c>
      <c r="J375" s="9">
        <v>7</v>
      </c>
      <c r="K375" s="8" t="s">
        <v>19</v>
      </c>
      <c r="L375" t="s">
        <v>218</v>
      </c>
      <c r="M375" t="str">
        <f>VLOOKUP(E375,Price!$A$2:$C$9,3,)</f>
        <v>$67.00</v>
      </c>
      <c r="N375">
        <f t="shared" si="33"/>
        <v>833</v>
      </c>
      <c r="O375">
        <f t="shared" si="34"/>
        <v>469</v>
      </c>
      <c r="P375">
        <f t="shared" si="35"/>
        <v>364</v>
      </c>
      <c r="Q375" s="20">
        <f>Table1[[#This Row],[Profit ]]/Table1[[#This Row],[Total Revenue]]</f>
        <v>0.43697478991596639</v>
      </c>
    </row>
    <row r="376" spans="1:17" ht="15.75" thickBot="1" x14ac:dyDescent="0.3">
      <c r="A376" s="11">
        <v>46145</v>
      </c>
      <c r="B376" s="17" t="str">
        <f t="shared" si="30"/>
        <v>6145</v>
      </c>
      <c r="C376" s="17" t="str">
        <f t="shared" si="31"/>
        <v>45</v>
      </c>
      <c r="D376" s="17" t="str">
        <f t="shared" si="32"/>
        <v>Nov</v>
      </c>
      <c r="E376" s="5" t="s">
        <v>80</v>
      </c>
      <c r="F376" s="5" t="s">
        <v>62</v>
      </c>
      <c r="G376" s="5" t="s">
        <v>23</v>
      </c>
      <c r="H376" s="5" t="s">
        <v>138</v>
      </c>
      <c r="I376" s="5" t="s">
        <v>103</v>
      </c>
      <c r="J376" s="6">
        <v>10</v>
      </c>
      <c r="K376" s="5" t="s">
        <v>50</v>
      </c>
      <c r="L376" t="s">
        <v>210</v>
      </c>
      <c r="M376" t="str">
        <f>VLOOKUP(E376,Price!$A$2:$C$9,3,)</f>
        <v>$39.00</v>
      </c>
      <c r="N376">
        <f t="shared" si="33"/>
        <v>760</v>
      </c>
      <c r="O376">
        <f t="shared" si="34"/>
        <v>390</v>
      </c>
      <c r="P376">
        <f t="shared" si="35"/>
        <v>370</v>
      </c>
      <c r="Q376" s="20">
        <f>Table1[[#This Row],[Profit ]]/Table1[[#This Row],[Total Revenue]]</f>
        <v>0.48684210526315791</v>
      </c>
    </row>
    <row r="377" spans="1:17" ht="15.75" thickBot="1" x14ac:dyDescent="0.3">
      <c r="A377" s="10" t="s">
        <v>182</v>
      </c>
      <c r="B377" s="16" t="str">
        <f t="shared" si="30"/>
        <v>2026</v>
      </c>
      <c r="C377" s="16" t="str">
        <f t="shared" si="31"/>
        <v>25</v>
      </c>
      <c r="D377" s="16" t="str">
        <f t="shared" si="32"/>
        <v>Feb</v>
      </c>
      <c r="E377" s="5" t="s">
        <v>97</v>
      </c>
      <c r="F377" s="5" t="s">
        <v>10</v>
      </c>
      <c r="G377" s="8" t="s">
        <v>43</v>
      </c>
      <c r="H377" s="5" t="s">
        <v>52</v>
      </c>
      <c r="I377" s="8" t="s">
        <v>41</v>
      </c>
      <c r="J377" s="9">
        <v>2</v>
      </c>
      <c r="K377" s="8" t="s">
        <v>50</v>
      </c>
      <c r="L377" t="s">
        <v>206</v>
      </c>
      <c r="M377" t="str">
        <f>VLOOKUP(E377,Price!$A$2:$C$9,3,)</f>
        <v>$28.00</v>
      </c>
      <c r="N377">
        <f t="shared" si="33"/>
        <v>108</v>
      </c>
      <c r="O377">
        <f t="shared" si="34"/>
        <v>56</v>
      </c>
      <c r="P377">
        <f t="shared" si="35"/>
        <v>52</v>
      </c>
      <c r="Q377" s="20">
        <f>Table1[[#This Row],[Profit ]]/Table1[[#This Row],[Total Revenue]]</f>
        <v>0.48148148148148145</v>
      </c>
    </row>
    <row r="378" spans="1:17" ht="15.75" thickBot="1" x14ac:dyDescent="0.3">
      <c r="A378" s="11">
        <v>46301</v>
      </c>
      <c r="B378" s="17" t="str">
        <f t="shared" si="30"/>
        <v>6301</v>
      </c>
      <c r="C378" s="17" t="str">
        <f t="shared" si="31"/>
        <v>01</v>
      </c>
      <c r="D378" s="17" t="str">
        <f t="shared" si="32"/>
        <v>Oct</v>
      </c>
      <c r="E378" s="5" t="s">
        <v>140</v>
      </c>
      <c r="F378" s="5" t="s">
        <v>62</v>
      </c>
      <c r="G378" s="5" t="s">
        <v>36</v>
      </c>
      <c r="H378" s="5" t="s">
        <v>52</v>
      </c>
      <c r="I378" s="5" t="s">
        <v>33</v>
      </c>
      <c r="J378" s="6">
        <v>14</v>
      </c>
      <c r="K378" s="5" t="s">
        <v>19</v>
      </c>
      <c r="L378" t="s">
        <v>216</v>
      </c>
      <c r="M378" t="str">
        <f>VLOOKUP(E378,Price!$A$2:$C$9,3,)</f>
        <v>$64.00</v>
      </c>
      <c r="N378">
        <f t="shared" si="33"/>
        <v>1568</v>
      </c>
      <c r="O378">
        <f t="shared" si="34"/>
        <v>896</v>
      </c>
      <c r="P378">
        <f t="shared" si="35"/>
        <v>672</v>
      </c>
      <c r="Q378" s="20">
        <f>Table1[[#This Row],[Profit ]]/Table1[[#This Row],[Total Revenue]]</f>
        <v>0.42857142857142855</v>
      </c>
    </row>
    <row r="379" spans="1:17" ht="15.75" thickBot="1" x14ac:dyDescent="0.3">
      <c r="A379" s="10">
        <v>46296</v>
      </c>
      <c r="B379" s="16" t="str">
        <f t="shared" si="30"/>
        <v>6296</v>
      </c>
      <c r="C379" s="16" t="str">
        <f t="shared" si="31"/>
        <v>96</v>
      </c>
      <c r="D379" s="16" t="str">
        <f t="shared" si="32"/>
        <v>Jan</v>
      </c>
      <c r="E379" s="5" t="s">
        <v>34</v>
      </c>
      <c r="F379" s="5" t="s">
        <v>62</v>
      </c>
      <c r="G379" s="8" t="s">
        <v>36</v>
      </c>
      <c r="H379" s="5" t="s">
        <v>52</v>
      </c>
      <c r="I379" s="8" t="s">
        <v>13</v>
      </c>
      <c r="J379" s="9">
        <v>6</v>
      </c>
      <c r="K379" s="8" t="s">
        <v>50</v>
      </c>
      <c r="L379" t="s">
        <v>212</v>
      </c>
      <c r="M379" t="str">
        <f>VLOOKUP(E379,Price!$A$2:$C$9,3,)</f>
        <v>$72.00</v>
      </c>
      <c r="N379">
        <f t="shared" si="33"/>
        <v>768</v>
      </c>
      <c r="O379">
        <f t="shared" si="34"/>
        <v>432</v>
      </c>
      <c r="P379">
        <f t="shared" si="35"/>
        <v>336</v>
      </c>
      <c r="Q379" s="20">
        <f>Table1[[#This Row],[Profit ]]/Table1[[#This Row],[Total Revenue]]</f>
        <v>0.4375</v>
      </c>
    </row>
    <row r="380" spans="1:17" ht="15.75" thickBot="1" x14ac:dyDescent="0.3">
      <c r="A380" s="11" t="s">
        <v>95</v>
      </c>
      <c r="B380" s="17" t="str">
        <f t="shared" si="30"/>
        <v>2026</v>
      </c>
      <c r="C380" s="17" t="str">
        <f t="shared" si="31"/>
        <v>17</v>
      </c>
      <c r="D380" s="17" t="str">
        <f t="shared" si="32"/>
        <v>Jul</v>
      </c>
      <c r="E380" s="5" t="s">
        <v>72</v>
      </c>
      <c r="F380" s="5" t="s">
        <v>62</v>
      </c>
      <c r="G380" s="5" t="s">
        <v>36</v>
      </c>
      <c r="H380" s="5" t="s">
        <v>138</v>
      </c>
      <c r="I380" s="5" t="s">
        <v>13</v>
      </c>
      <c r="J380" s="6">
        <v>5</v>
      </c>
      <c r="K380" s="5" t="s">
        <v>42</v>
      </c>
      <c r="L380" t="s">
        <v>214</v>
      </c>
      <c r="M380" t="str">
        <f>VLOOKUP(E380,Price!$A$2:$C$9,3,)</f>
        <v>$58.00</v>
      </c>
      <c r="N380">
        <f t="shared" si="33"/>
        <v>525</v>
      </c>
      <c r="O380">
        <f t="shared" si="34"/>
        <v>290</v>
      </c>
      <c r="P380">
        <f t="shared" si="35"/>
        <v>235</v>
      </c>
      <c r="Q380" s="20">
        <f>Table1[[#This Row],[Profit ]]/Table1[[#This Row],[Total Revenue]]</f>
        <v>0.44761904761904764</v>
      </c>
    </row>
    <row r="381" spans="1:17" ht="15.75" thickBot="1" x14ac:dyDescent="0.3">
      <c r="A381" s="10" t="s">
        <v>173</v>
      </c>
      <c r="B381" s="16" t="str">
        <f t="shared" si="30"/>
        <v>2026</v>
      </c>
      <c r="C381" s="16" t="str">
        <f t="shared" si="31"/>
        <v>20</v>
      </c>
      <c r="D381" s="16" t="str">
        <f t="shared" si="32"/>
        <v>Feb</v>
      </c>
      <c r="E381" s="5" t="s">
        <v>140</v>
      </c>
      <c r="F381" s="5" t="s">
        <v>62</v>
      </c>
      <c r="G381" s="8" t="s">
        <v>23</v>
      </c>
      <c r="H381" s="5" t="s">
        <v>138</v>
      </c>
      <c r="I381" s="8" t="s">
        <v>13</v>
      </c>
      <c r="J381" s="9">
        <v>4</v>
      </c>
      <c r="K381" s="8" t="s">
        <v>14</v>
      </c>
      <c r="L381" t="s">
        <v>216</v>
      </c>
      <c r="M381" t="str">
        <f>VLOOKUP(E381,Price!$A$2:$C$9,3,)</f>
        <v>$64.00</v>
      </c>
      <c r="N381">
        <f t="shared" si="33"/>
        <v>448</v>
      </c>
      <c r="O381">
        <f t="shared" si="34"/>
        <v>256</v>
      </c>
      <c r="P381">
        <f t="shared" si="35"/>
        <v>192</v>
      </c>
      <c r="Q381" s="20">
        <f>Table1[[#This Row],[Profit ]]/Table1[[#This Row],[Total Revenue]]</f>
        <v>0.42857142857142855</v>
      </c>
    </row>
    <row r="382" spans="1:17" ht="15.75" thickBot="1" x14ac:dyDescent="0.3">
      <c r="A382" s="11" t="s">
        <v>15</v>
      </c>
      <c r="B382" s="17" t="str">
        <f t="shared" si="30"/>
        <v>2026</v>
      </c>
      <c r="C382" s="17" t="str">
        <f t="shared" si="31"/>
        <v>26</v>
      </c>
      <c r="D382" s="17" t="str">
        <f t="shared" si="32"/>
        <v>Jun</v>
      </c>
      <c r="E382" s="5" t="s">
        <v>80</v>
      </c>
      <c r="F382" s="5" t="s">
        <v>62</v>
      </c>
      <c r="G382" s="5" t="s">
        <v>36</v>
      </c>
      <c r="H382" s="5" t="s">
        <v>138</v>
      </c>
      <c r="I382" s="5" t="s">
        <v>25</v>
      </c>
      <c r="J382" s="6">
        <v>4</v>
      </c>
      <c r="K382" s="5" t="s">
        <v>14</v>
      </c>
      <c r="L382" t="s">
        <v>210</v>
      </c>
      <c r="M382" t="str">
        <f>VLOOKUP(E382,Price!$A$2:$C$9,3,)</f>
        <v>$39.00</v>
      </c>
      <c r="N382">
        <f t="shared" si="33"/>
        <v>304</v>
      </c>
      <c r="O382">
        <f t="shared" si="34"/>
        <v>156</v>
      </c>
      <c r="P382">
        <f t="shared" si="35"/>
        <v>148</v>
      </c>
      <c r="Q382" s="20">
        <f>Table1[[#This Row],[Profit ]]/Table1[[#This Row],[Total Revenue]]</f>
        <v>0.48684210526315791</v>
      </c>
    </row>
    <row r="383" spans="1:17" ht="15.75" thickBot="1" x14ac:dyDescent="0.3">
      <c r="A383" s="10" t="s">
        <v>168</v>
      </c>
      <c r="B383" s="16" t="str">
        <f t="shared" si="30"/>
        <v>2026</v>
      </c>
      <c r="C383" s="16" t="str">
        <f t="shared" si="31"/>
        <v>16</v>
      </c>
      <c r="D383" s="16" t="str">
        <f t="shared" si="32"/>
        <v>Jun</v>
      </c>
      <c r="E383" s="5" t="s">
        <v>72</v>
      </c>
      <c r="F383" s="5" t="s">
        <v>10</v>
      </c>
      <c r="G383" s="8" t="s">
        <v>36</v>
      </c>
      <c r="H383" s="5" t="s">
        <v>12</v>
      </c>
      <c r="I383" s="8" t="s">
        <v>33</v>
      </c>
      <c r="J383" s="9">
        <v>10</v>
      </c>
      <c r="K383" s="8" t="s">
        <v>42</v>
      </c>
      <c r="L383" t="s">
        <v>214</v>
      </c>
      <c r="M383" t="str">
        <f>VLOOKUP(E383,Price!$A$2:$C$9,3,)</f>
        <v>$58.00</v>
      </c>
      <c r="N383">
        <f t="shared" si="33"/>
        <v>1050</v>
      </c>
      <c r="O383">
        <f t="shared" si="34"/>
        <v>580</v>
      </c>
      <c r="P383">
        <f t="shared" si="35"/>
        <v>470</v>
      </c>
      <c r="Q383" s="20">
        <f>Table1[[#This Row],[Profit ]]/Table1[[#This Row],[Total Revenue]]</f>
        <v>0.44761904761904764</v>
      </c>
    </row>
    <row r="384" spans="1:17" ht="15.75" thickBot="1" x14ac:dyDescent="0.3">
      <c r="A384" s="11">
        <v>46362</v>
      </c>
      <c r="B384" s="17" t="str">
        <f t="shared" si="30"/>
        <v>6362</v>
      </c>
      <c r="C384" s="17" t="str">
        <f t="shared" si="31"/>
        <v>62</v>
      </c>
      <c r="D384" s="17" t="str">
        <f t="shared" si="32"/>
        <v>Dec</v>
      </c>
      <c r="E384" s="5" t="s">
        <v>74</v>
      </c>
      <c r="F384" s="5" t="s">
        <v>90</v>
      </c>
      <c r="G384" s="5" t="s">
        <v>17</v>
      </c>
      <c r="H384" s="5" t="s">
        <v>12</v>
      </c>
      <c r="I384" s="5" t="s">
        <v>49</v>
      </c>
      <c r="J384" s="6">
        <v>14</v>
      </c>
      <c r="K384" s="5" t="s">
        <v>42</v>
      </c>
      <c r="L384" t="s">
        <v>204</v>
      </c>
      <c r="M384" t="str">
        <f>VLOOKUP(E384,Price!$A$2:$C$9,3,)</f>
        <v>$47.00</v>
      </c>
      <c r="N384">
        <f t="shared" si="33"/>
        <v>1246</v>
      </c>
      <c r="O384">
        <f t="shared" si="34"/>
        <v>658</v>
      </c>
      <c r="P384">
        <f t="shared" si="35"/>
        <v>588</v>
      </c>
      <c r="Q384" s="20">
        <f>Table1[[#This Row],[Profit ]]/Table1[[#This Row],[Total Revenue]]</f>
        <v>0.47191011235955055</v>
      </c>
    </row>
    <row r="385" spans="1:17" ht="15.75" thickBot="1" x14ac:dyDescent="0.3">
      <c r="A385" s="10" t="s">
        <v>183</v>
      </c>
      <c r="B385" s="16" t="str">
        <f t="shared" si="30"/>
        <v>2026</v>
      </c>
      <c r="C385" s="16" t="str">
        <f t="shared" si="31"/>
        <v>28</v>
      </c>
      <c r="D385" s="16" t="str">
        <f t="shared" si="32"/>
        <v>Jun</v>
      </c>
      <c r="E385" s="5" t="s">
        <v>118</v>
      </c>
      <c r="F385" s="5" t="s">
        <v>62</v>
      </c>
      <c r="G385" s="8" t="s">
        <v>23</v>
      </c>
      <c r="H385" s="5" t="s">
        <v>138</v>
      </c>
      <c r="I385" s="8" t="s">
        <v>41</v>
      </c>
      <c r="J385" s="9">
        <v>8</v>
      </c>
      <c r="K385" s="8" t="s">
        <v>50</v>
      </c>
      <c r="L385" t="s">
        <v>218</v>
      </c>
      <c r="M385" t="str">
        <f>VLOOKUP(E385,Price!$A$2:$C$9,3,)</f>
        <v>$67.00</v>
      </c>
      <c r="N385">
        <f t="shared" si="33"/>
        <v>952</v>
      </c>
      <c r="O385">
        <f t="shared" si="34"/>
        <v>536</v>
      </c>
      <c r="P385">
        <f t="shared" si="35"/>
        <v>416</v>
      </c>
      <c r="Q385" s="20">
        <f>Table1[[#This Row],[Profit ]]/Table1[[#This Row],[Total Revenue]]</f>
        <v>0.43697478991596639</v>
      </c>
    </row>
    <row r="386" spans="1:17" ht="15.75" thickBot="1" x14ac:dyDescent="0.3">
      <c r="A386" s="11">
        <v>46266</v>
      </c>
      <c r="B386" s="17" t="str">
        <f t="shared" ref="B386:B449" si="36">RIGHT(TRIM(A386), 4)</f>
        <v>6266</v>
      </c>
      <c r="C386" s="17" t="str">
        <f t="shared" ref="C386:C449" si="37">MID(TRIM(A386), 4, 2)</f>
        <v>66</v>
      </c>
      <c r="D386" s="17" t="str">
        <f t="shared" ref="D386:D449" si="38">TEXT(DATE(RIGHT(TRIM(A386), 4), LEFT(TRIM(A386), 2), MID(TRIM(A386), 4, 2)), "mmm")</f>
        <v>Dec</v>
      </c>
      <c r="E386" s="5" t="s">
        <v>34</v>
      </c>
      <c r="F386" s="5" t="s">
        <v>10</v>
      </c>
      <c r="G386" s="5" t="s">
        <v>17</v>
      </c>
      <c r="H386" s="5" t="s">
        <v>63</v>
      </c>
      <c r="I386" s="5" t="s">
        <v>56</v>
      </c>
      <c r="J386" s="6">
        <v>3</v>
      </c>
      <c r="K386" s="5" t="s">
        <v>42</v>
      </c>
      <c r="L386" t="s">
        <v>212</v>
      </c>
      <c r="M386" t="str">
        <f>VLOOKUP(E386,Price!$A$2:$C$9,3,)</f>
        <v>$72.00</v>
      </c>
      <c r="N386">
        <f t="shared" si="33"/>
        <v>384</v>
      </c>
      <c r="O386">
        <f t="shared" si="34"/>
        <v>216</v>
      </c>
      <c r="P386">
        <f t="shared" si="35"/>
        <v>168</v>
      </c>
      <c r="Q386" s="20">
        <f>Table1[[#This Row],[Profit ]]/Table1[[#This Row],[Total Revenue]]</f>
        <v>0.4375</v>
      </c>
    </row>
    <row r="387" spans="1:17" ht="15.75" thickBot="1" x14ac:dyDescent="0.3">
      <c r="A387" s="10">
        <v>46149</v>
      </c>
      <c r="B387" s="16" t="str">
        <f t="shared" si="36"/>
        <v>6149</v>
      </c>
      <c r="C387" s="16" t="str">
        <f t="shared" si="37"/>
        <v>49</v>
      </c>
      <c r="D387" s="16" t="str">
        <f t="shared" si="38"/>
        <v>Nov</v>
      </c>
      <c r="E387" s="5" t="s">
        <v>34</v>
      </c>
      <c r="F387" s="5" t="s">
        <v>10</v>
      </c>
      <c r="G387" s="8" t="s">
        <v>17</v>
      </c>
      <c r="H387" s="5" t="s">
        <v>52</v>
      </c>
      <c r="I387" s="8" t="s">
        <v>73</v>
      </c>
      <c r="J387" s="9">
        <v>13</v>
      </c>
      <c r="K387" s="8" t="s">
        <v>14</v>
      </c>
      <c r="L387" t="s">
        <v>212</v>
      </c>
      <c r="M387" t="str">
        <f>VLOOKUP(E387,Price!$A$2:$C$9,3,)</f>
        <v>$72.00</v>
      </c>
      <c r="N387">
        <f t="shared" ref="N387:N450" si="39">J387 * VALUE(SUBSTITUTE(L387,"$",""))</f>
        <v>1664</v>
      </c>
      <c r="O387">
        <f t="shared" ref="O387:O450" si="40">J387*VALUE(SUBSTITUTE(M387,"$",""))</f>
        <v>936</v>
      </c>
      <c r="P387">
        <f t="shared" ref="P387:P450" si="41">N387-O387</f>
        <v>728</v>
      </c>
      <c r="Q387" s="20">
        <f>Table1[[#This Row],[Profit ]]/Table1[[#This Row],[Total Revenue]]</f>
        <v>0.4375</v>
      </c>
    </row>
    <row r="388" spans="1:17" ht="15.75" thickBot="1" x14ac:dyDescent="0.3">
      <c r="A388" s="11" t="s">
        <v>110</v>
      </c>
      <c r="B388" s="17" t="str">
        <f t="shared" si="36"/>
        <v>2026</v>
      </c>
      <c r="C388" s="17" t="str">
        <f t="shared" si="37"/>
        <v>23</v>
      </c>
      <c r="D388" s="17" t="str">
        <f t="shared" si="38"/>
        <v>Jun</v>
      </c>
      <c r="E388" s="5" t="s">
        <v>21</v>
      </c>
      <c r="F388" s="5" t="s">
        <v>10</v>
      </c>
      <c r="G388" s="5" t="s">
        <v>23</v>
      </c>
      <c r="H388" s="5" t="s">
        <v>12</v>
      </c>
      <c r="I388" s="5" t="s">
        <v>25</v>
      </c>
      <c r="J388" s="6">
        <v>8</v>
      </c>
      <c r="K388" s="5" t="s">
        <v>14</v>
      </c>
      <c r="L388" t="s">
        <v>208</v>
      </c>
      <c r="M388" t="str">
        <f>VLOOKUP(E388,Price!$A$2:$C$9,3,)</f>
        <v>$14.00</v>
      </c>
      <c r="N388">
        <f t="shared" si="39"/>
        <v>256</v>
      </c>
      <c r="O388">
        <f t="shared" si="40"/>
        <v>112</v>
      </c>
      <c r="P388">
        <f t="shared" si="41"/>
        <v>144</v>
      </c>
      <c r="Q388" s="20">
        <f>Table1[[#This Row],[Profit ]]/Table1[[#This Row],[Total Revenue]]</f>
        <v>0.5625</v>
      </c>
    </row>
    <row r="389" spans="1:17" ht="15.75" thickBot="1" x14ac:dyDescent="0.3">
      <c r="A389" s="10">
        <v>46268</v>
      </c>
      <c r="B389" s="16" t="str">
        <f t="shared" si="36"/>
        <v>6268</v>
      </c>
      <c r="C389" s="16" t="str">
        <f t="shared" si="37"/>
        <v>68</v>
      </c>
      <c r="D389" s="16" t="str">
        <f t="shared" si="38"/>
        <v>Dec</v>
      </c>
      <c r="E389" s="5" t="s">
        <v>97</v>
      </c>
      <c r="F389" s="5" t="s">
        <v>62</v>
      </c>
      <c r="G389" s="8" t="s">
        <v>23</v>
      </c>
      <c r="H389" s="5" t="s">
        <v>138</v>
      </c>
      <c r="I389" s="8" t="s">
        <v>73</v>
      </c>
      <c r="J389" s="9">
        <v>6</v>
      </c>
      <c r="K389" s="8" t="s">
        <v>14</v>
      </c>
      <c r="L389" t="s">
        <v>206</v>
      </c>
      <c r="M389" t="str">
        <f>VLOOKUP(E389,Price!$A$2:$C$9,3,)</f>
        <v>$28.00</v>
      </c>
      <c r="N389">
        <f t="shared" si="39"/>
        <v>324</v>
      </c>
      <c r="O389">
        <f t="shared" si="40"/>
        <v>168</v>
      </c>
      <c r="P389">
        <f t="shared" si="41"/>
        <v>156</v>
      </c>
      <c r="Q389" s="20">
        <f>Table1[[#This Row],[Profit ]]/Table1[[#This Row],[Total Revenue]]</f>
        <v>0.48148148148148145</v>
      </c>
    </row>
    <row r="390" spans="1:17" ht="15.75" thickBot="1" x14ac:dyDescent="0.3">
      <c r="A390" s="11" t="s">
        <v>188</v>
      </c>
      <c r="B390" s="17" t="str">
        <f t="shared" si="36"/>
        <v>2026</v>
      </c>
      <c r="C390" s="17" t="str">
        <f t="shared" si="37"/>
        <v>21</v>
      </c>
      <c r="D390" s="17" t="str">
        <f t="shared" si="38"/>
        <v>Jan</v>
      </c>
      <c r="E390" s="5" t="s">
        <v>72</v>
      </c>
      <c r="F390" s="5" t="s">
        <v>10</v>
      </c>
      <c r="G390" s="5" t="s">
        <v>11</v>
      </c>
      <c r="H390" s="5" t="s">
        <v>63</v>
      </c>
      <c r="I390" s="5" t="s">
        <v>47</v>
      </c>
      <c r="J390" s="6">
        <v>14</v>
      </c>
      <c r="K390" s="5" t="s">
        <v>42</v>
      </c>
      <c r="L390" t="s">
        <v>214</v>
      </c>
      <c r="M390" t="str">
        <f>VLOOKUP(E390,Price!$A$2:$C$9,3,)</f>
        <v>$58.00</v>
      </c>
      <c r="N390">
        <f t="shared" si="39"/>
        <v>1470</v>
      </c>
      <c r="O390">
        <f t="shared" si="40"/>
        <v>812</v>
      </c>
      <c r="P390">
        <f t="shared" si="41"/>
        <v>658</v>
      </c>
      <c r="Q390" s="20">
        <f>Table1[[#This Row],[Profit ]]/Table1[[#This Row],[Total Revenue]]</f>
        <v>0.44761904761904764</v>
      </c>
    </row>
    <row r="391" spans="1:17" ht="15.75" thickBot="1" x14ac:dyDescent="0.3">
      <c r="A391" s="10" t="s">
        <v>68</v>
      </c>
      <c r="B391" s="16" t="str">
        <f t="shared" si="36"/>
        <v>2026</v>
      </c>
      <c r="C391" s="16" t="str">
        <f t="shared" si="37"/>
        <v>20</v>
      </c>
      <c r="D391" s="16" t="str">
        <f t="shared" si="38"/>
        <v>May</v>
      </c>
      <c r="E391" s="5" t="s">
        <v>118</v>
      </c>
      <c r="F391" s="5" t="s">
        <v>62</v>
      </c>
      <c r="G391" s="8" t="s">
        <v>36</v>
      </c>
      <c r="H391" s="5" t="s">
        <v>52</v>
      </c>
      <c r="I391" s="8" t="s">
        <v>38</v>
      </c>
      <c r="J391" s="9">
        <v>1</v>
      </c>
      <c r="K391" s="8" t="s">
        <v>19</v>
      </c>
      <c r="L391" t="s">
        <v>218</v>
      </c>
      <c r="M391" t="str">
        <f>VLOOKUP(E391,Price!$A$2:$C$9,3,)</f>
        <v>$67.00</v>
      </c>
      <c r="N391">
        <f t="shared" si="39"/>
        <v>119</v>
      </c>
      <c r="O391">
        <f t="shared" si="40"/>
        <v>67</v>
      </c>
      <c r="P391">
        <f t="shared" si="41"/>
        <v>52</v>
      </c>
      <c r="Q391" s="20">
        <f>Table1[[#This Row],[Profit ]]/Table1[[#This Row],[Total Revenue]]</f>
        <v>0.43697478991596639</v>
      </c>
    </row>
    <row r="392" spans="1:17" ht="15.75" thickBot="1" x14ac:dyDescent="0.3">
      <c r="A392" s="11" t="s">
        <v>170</v>
      </c>
      <c r="B392" s="17" t="str">
        <f t="shared" si="36"/>
        <v>2026</v>
      </c>
      <c r="C392" s="17" t="str">
        <f t="shared" si="37"/>
        <v>27</v>
      </c>
      <c r="D392" s="17" t="str">
        <f t="shared" si="38"/>
        <v>May</v>
      </c>
      <c r="E392" s="5" t="s">
        <v>34</v>
      </c>
      <c r="F392" s="5" t="s">
        <v>10</v>
      </c>
      <c r="G392" s="5" t="s">
        <v>23</v>
      </c>
      <c r="H392" s="5" t="s">
        <v>12</v>
      </c>
      <c r="I392" s="5" t="s">
        <v>103</v>
      </c>
      <c r="J392" s="6">
        <v>11</v>
      </c>
      <c r="K392" s="5" t="s">
        <v>50</v>
      </c>
      <c r="L392" t="s">
        <v>212</v>
      </c>
      <c r="M392" t="str">
        <f>VLOOKUP(E392,Price!$A$2:$C$9,3,)</f>
        <v>$72.00</v>
      </c>
      <c r="N392">
        <f t="shared" si="39"/>
        <v>1408</v>
      </c>
      <c r="O392">
        <f t="shared" si="40"/>
        <v>792</v>
      </c>
      <c r="P392">
        <f t="shared" si="41"/>
        <v>616</v>
      </c>
      <c r="Q392" s="20">
        <f>Table1[[#This Row],[Profit ]]/Table1[[#This Row],[Total Revenue]]</f>
        <v>0.4375</v>
      </c>
    </row>
    <row r="393" spans="1:17" ht="15.75" thickBot="1" x14ac:dyDescent="0.3">
      <c r="A393" s="10" t="s">
        <v>171</v>
      </c>
      <c r="B393" s="16" t="str">
        <f t="shared" si="36"/>
        <v>2026</v>
      </c>
      <c r="C393" s="16" t="str">
        <f t="shared" si="37"/>
        <v>26</v>
      </c>
      <c r="D393" s="16" t="str">
        <f t="shared" si="38"/>
        <v>May</v>
      </c>
      <c r="E393" s="5" t="s">
        <v>21</v>
      </c>
      <c r="F393" s="5" t="s">
        <v>62</v>
      </c>
      <c r="G393" s="8" t="s">
        <v>17</v>
      </c>
      <c r="H393" s="5" t="s">
        <v>52</v>
      </c>
      <c r="I393" s="8" t="s">
        <v>38</v>
      </c>
      <c r="J393" s="9">
        <v>9</v>
      </c>
      <c r="K393" s="8" t="s">
        <v>14</v>
      </c>
      <c r="L393" t="s">
        <v>208</v>
      </c>
      <c r="M393" t="str">
        <f>VLOOKUP(E393,Price!$A$2:$C$9,3,)</f>
        <v>$14.00</v>
      </c>
      <c r="N393">
        <f t="shared" si="39"/>
        <v>288</v>
      </c>
      <c r="O393">
        <f t="shared" si="40"/>
        <v>126</v>
      </c>
      <c r="P393">
        <f t="shared" si="41"/>
        <v>162</v>
      </c>
      <c r="Q393" s="20">
        <f>Table1[[#This Row],[Profit ]]/Table1[[#This Row],[Total Revenue]]</f>
        <v>0.5625</v>
      </c>
    </row>
    <row r="394" spans="1:17" ht="15.75" thickBot="1" x14ac:dyDescent="0.3">
      <c r="A394" s="11" t="s">
        <v>142</v>
      </c>
      <c r="B394" s="17" t="str">
        <f t="shared" si="36"/>
        <v>2026</v>
      </c>
      <c r="C394" s="17" t="str">
        <f t="shared" si="37"/>
        <v>14</v>
      </c>
      <c r="D394" s="17" t="str">
        <f t="shared" si="38"/>
        <v>May</v>
      </c>
      <c r="E394" s="5" t="s">
        <v>140</v>
      </c>
      <c r="F394" s="5" t="s">
        <v>10</v>
      </c>
      <c r="G394" s="5" t="s">
        <v>23</v>
      </c>
      <c r="H394" s="5" t="s">
        <v>63</v>
      </c>
      <c r="I394" s="5" t="s">
        <v>103</v>
      </c>
      <c r="J394" s="6">
        <v>2</v>
      </c>
      <c r="K394" s="5" t="s">
        <v>14</v>
      </c>
      <c r="L394" t="s">
        <v>216</v>
      </c>
      <c r="M394" t="str">
        <f>VLOOKUP(E394,Price!$A$2:$C$9,3,)</f>
        <v>$64.00</v>
      </c>
      <c r="N394">
        <f t="shared" si="39"/>
        <v>224</v>
      </c>
      <c r="O394">
        <f t="shared" si="40"/>
        <v>128</v>
      </c>
      <c r="P394">
        <f t="shared" si="41"/>
        <v>96</v>
      </c>
      <c r="Q394" s="20">
        <f>Table1[[#This Row],[Profit ]]/Table1[[#This Row],[Total Revenue]]</f>
        <v>0.42857142857142855</v>
      </c>
    </row>
    <row r="395" spans="1:17" ht="15.75" thickBot="1" x14ac:dyDescent="0.3">
      <c r="A395" s="10" t="s">
        <v>158</v>
      </c>
      <c r="B395" s="16" t="str">
        <f t="shared" si="36"/>
        <v>2026</v>
      </c>
      <c r="C395" s="16" t="str">
        <f t="shared" si="37"/>
        <v>15</v>
      </c>
      <c r="D395" s="16" t="str">
        <f t="shared" si="38"/>
        <v>Jan</v>
      </c>
      <c r="E395" s="5" t="s">
        <v>74</v>
      </c>
      <c r="F395" s="5" t="s">
        <v>10</v>
      </c>
      <c r="G395" s="8" t="s">
        <v>43</v>
      </c>
      <c r="H395" s="5" t="s">
        <v>63</v>
      </c>
      <c r="I395" s="8" t="s">
        <v>73</v>
      </c>
      <c r="J395" s="9">
        <v>9</v>
      </c>
      <c r="K395" s="8" t="s">
        <v>19</v>
      </c>
      <c r="L395" t="s">
        <v>204</v>
      </c>
      <c r="M395" t="str">
        <f>VLOOKUP(E395,Price!$A$2:$C$9,3,)</f>
        <v>$47.00</v>
      </c>
      <c r="N395">
        <f t="shared" si="39"/>
        <v>801</v>
      </c>
      <c r="O395">
        <f t="shared" si="40"/>
        <v>423</v>
      </c>
      <c r="P395">
        <f t="shared" si="41"/>
        <v>378</v>
      </c>
      <c r="Q395" s="20">
        <f>Table1[[#This Row],[Profit ]]/Table1[[#This Row],[Total Revenue]]</f>
        <v>0.47191011235955055</v>
      </c>
    </row>
    <row r="396" spans="1:17" ht="15.75" thickBot="1" x14ac:dyDescent="0.3">
      <c r="A396" s="11">
        <v>46059</v>
      </c>
      <c r="B396" s="17" t="str">
        <f t="shared" si="36"/>
        <v>6059</v>
      </c>
      <c r="C396" s="17" t="str">
        <f t="shared" si="37"/>
        <v>59</v>
      </c>
      <c r="D396" s="17" t="str">
        <f t="shared" si="38"/>
        <v>Nov</v>
      </c>
      <c r="E396" s="5" t="s">
        <v>118</v>
      </c>
      <c r="F396" s="5" t="s">
        <v>10</v>
      </c>
      <c r="G396" s="5" t="s">
        <v>43</v>
      </c>
      <c r="H396" s="5" t="s">
        <v>63</v>
      </c>
      <c r="I396" s="5" t="s">
        <v>103</v>
      </c>
      <c r="J396" s="6">
        <v>8</v>
      </c>
      <c r="K396" s="5" t="s">
        <v>19</v>
      </c>
      <c r="L396" t="s">
        <v>218</v>
      </c>
      <c r="M396" t="str">
        <f>VLOOKUP(E396,Price!$A$2:$C$9,3,)</f>
        <v>$67.00</v>
      </c>
      <c r="N396">
        <f t="shared" si="39"/>
        <v>952</v>
      </c>
      <c r="O396">
        <f t="shared" si="40"/>
        <v>536</v>
      </c>
      <c r="P396">
        <f t="shared" si="41"/>
        <v>416</v>
      </c>
      <c r="Q396" s="20">
        <f>Table1[[#This Row],[Profit ]]/Table1[[#This Row],[Total Revenue]]</f>
        <v>0.43697478991596639</v>
      </c>
    </row>
    <row r="397" spans="1:17" ht="15.75" thickBot="1" x14ac:dyDescent="0.3">
      <c r="A397" s="10" t="s">
        <v>141</v>
      </c>
      <c r="B397" s="16" t="str">
        <f t="shared" si="36"/>
        <v>2026</v>
      </c>
      <c r="C397" s="16" t="str">
        <f t="shared" si="37"/>
        <v>31</v>
      </c>
      <c r="D397" s="16" t="str">
        <f t="shared" si="38"/>
        <v>May</v>
      </c>
      <c r="E397" s="5" t="s">
        <v>80</v>
      </c>
      <c r="F397" s="5" t="s">
        <v>10</v>
      </c>
      <c r="G397" s="8" t="s">
        <v>23</v>
      </c>
      <c r="H397" s="5" t="s">
        <v>12</v>
      </c>
      <c r="I397" s="8" t="s">
        <v>33</v>
      </c>
      <c r="J397" s="9">
        <v>9</v>
      </c>
      <c r="K397" s="8" t="s">
        <v>14</v>
      </c>
      <c r="L397" t="s">
        <v>210</v>
      </c>
      <c r="M397" t="str">
        <f>VLOOKUP(E397,Price!$A$2:$C$9,3,)</f>
        <v>$39.00</v>
      </c>
      <c r="N397">
        <f t="shared" si="39"/>
        <v>684</v>
      </c>
      <c r="O397">
        <f t="shared" si="40"/>
        <v>351</v>
      </c>
      <c r="P397">
        <f t="shared" si="41"/>
        <v>333</v>
      </c>
      <c r="Q397" s="20">
        <f>Table1[[#This Row],[Profit ]]/Table1[[#This Row],[Total Revenue]]</f>
        <v>0.48684210526315791</v>
      </c>
    </row>
    <row r="398" spans="1:17" ht="15.75" thickBot="1" x14ac:dyDescent="0.3">
      <c r="A398" s="11">
        <v>46054</v>
      </c>
      <c r="B398" s="17" t="str">
        <f t="shared" si="36"/>
        <v>6054</v>
      </c>
      <c r="C398" s="17" t="str">
        <f t="shared" si="37"/>
        <v>54</v>
      </c>
      <c r="D398" s="17" t="str">
        <f t="shared" si="38"/>
        <v>Nov</v>
      </c>
      <c r="E398" s="5" t="s">
        <v>80</v>
      </c>
      <c r="F398" s="5" t="s">
        <v>10</v>
      </c>
      <c r="G398" s="5" t="s">
        <v>17</v>
      </c>
      <c r="H398" s="5" t="s">
        <v>52</v>
      </c>
      <c r="I398" s="5" t="s">
        <v>28</v>
      </c>
      <c r="J398" s="6">
        <v>11</v>
      </c>
      <c r="K398" s="5" t="s">
        <v>19</v>
      </c>
      <c r="L398" t="s">
        <v>210</v>
      </c>
      <c r="M398" t="str">
        <f>VLOOKUP(E398,Price!$A$2:$C$9,3,)</f>
        <v>$39.00</v>
      </c>
      <c r="N398">
        <f t="shared" si="39"/>
        <v>836</v>
      </c>
      <c r="O398">
        <f t="shared" si="40"/>
        <v>429</v>
      </c>
      <c r="P398">
        <f t="shared" si="41"/>
        <v>407</v>
      </c>
      <c r="Q398" s="20">
        <f>Table1[[#This Row],[Profit ]]/Table1[[#This Row],[Total Revenue]]</f>
        <v>0.48684210526315791</v>
      </c>
    </row>
    <row r="399" spans="1:17" ht="15.75" thickBot="1" x14ac:dyDescent="0.3">
      <c r="A399" s="10" t="s">
        <v>152</v>
      </c>
      <c r="B399" s="16" t="str">
        <f t="shared" si="36"/>
        <v>2026</v>
      </c>
      <c r="C399" s="16" t="str">
        <f t="shared" si="37"/>
        <v>25</v>
      </c>
      <c r="D399" s="16" t="str">
        <f t="shared" si="38"/>
        <v>Jan</v>
      </c>
      <c r="E399" s="5" t="s">
        <v>72</v>
      </c>
      <c r="F399" s="5" t="s">
        <v>35</v>
      </c>
      <c r="G399" s="8" t="s">
        <v>17</v>
      </c>
      <c r="H399" s="5" t="s">
        <v>52</v>
      </c>
      <c r="I399" s="8" t="s">
        <v>103</v>
      </c>
      <c r="J399" s="9">
        <v>8</v>
      </c>
      <c r="K399" s="8" t="s">
        <v>14</v>
      </c>
      <c r="L399" t="s">
        <v>214</v>
      </c>
      <c r="M399" t="str">
        <f>VLOOKUP(E399,Price!$A$2:$C$9,3,)</f>
        <v>$58.00</v>
      </c>
      <c r="N399">
        <f t="shared" si="39"/>
        <v>840</v>
      </c>
      <c r="O399">
        <f t="shared" si="40"/>
        <v>464</v>
      </c>
      <c r="P399">
        <f t="shared" si="41"/>
        <v>376</v>
      </c>
      <c r="Q399" s="20">
        <f>Table1[[#This Row],[Profit ]]/Table1[[#This Row],[Total Revenue]]</f>
        <v>0.44761904761904764</v>
      </c>
    </row>
    <row r="400" spans="1:17" ht="15.75" thickBot="1" x14ac:dyDescent="0.3">
      <c r="A400" s="11" t="s">
        <v>71</v>
      </c>
      <c r="B400" s="17" t="str">
        <f t="shared" si="36"/>
        <v>2026</v>
      </c>
      <c r="C400" s="17" t="str">
        <f t="shared" si="37"/>
        <v>31</v>
      </c>
      <c r="D400" s="17" t="str">
        <f t="shared" si="38"/>
        <v>Mar</v>
      </c>
      <c r="E400" s="5" t="s">
        <v>21</v>
      </c>
      <c r="F400" s="5" t="s">
        <v>90</v>
      </c>
      <c r="G400" s="5" t="s">
        <v>23</v>
      </c>
      <c r="H400" s="5" t="s">
        <v>63</v>
      </c>
      <c r="I400" s="5" t="s">
        <v>53</v>
      </c>
      <c r="J400" s="6">
        <v>7</v>
      </c>
      <c r="K400" s="5" t="s">
        <v>42</v>
      </c>
      <c r="L400" t="s">
        <v>208</v>
      </c>
      <c r="M400" t="str">
        <f>VLOOKUP(E400,Price!$A$2:$C$9,3,)</f>
        <v>$14.00</v>
      </c>
      <c r="N400">
        <f t="shared" si="39"/>
        <v>224</v>
      </c>
      <c r="O400">
        <f t="shared" si="40"/>
        <v>98</v>
      </c>
      <c r="P400">
        <f t="shared" si="41"/>
        <v>126</v>
      </c>
      <c r="Q400" s="20">
        <f>Table1[[#This Row],[Profit ]]/Table1[[#This Row],[Total Revenue]]</f>
        <v>0.5625</v>
      </c>
    </row>
    <row r="401" spans="1:17" ht="15.75" thickBot="1" x14ac:dyDescent="0.3">
      <c r="A401" s="10">
        <v>46115</v>
      </c>
      <c r="B401" s="16" t="str">
        <f t="shared" si="36"/>
        <v>6115</v>
      </c>
      <c r="C401" s="16" t="str">
        <f t="shared" si="37"/>
        <v>15</v>
      </c>
      <c r="D401" s="16" t="str">
        <f t="shared" si="38"/>
        <v>Oct</v>
      </c>
      <c r="E401" s="5" t="s">
        <v>97</v>
      </c>
      <c r="F401" s="5" t="s">
        <v>10</v>
      </c>
      <c r="G401" s="8" t="s">
        <v>11</v>
      </c>
      <c r="H401" s="5" t="s">
        <v>67</v>
      </c>
      <c r="I401" s="8" t="s">
        <v>49</v>
      </c>
      <c r="J401" s="9">
        <v>8</v>
      </c>
      <c r="K401" s="8" t="s">
        <v>42</v>
      </c>
      <c r="L401" t="s">
        <v>206</v>
      </c>
      <c r="M401" t="str">
        <f>VLOOKUP(E401,Price!$A$2:$C$9,3,)</f>
        <v>$28.00</v>
      </c>
      <c r="N401">
        <f t="shared" si="39"/>
        <v>432</v>
      </c>
      <c r="O401">
        <f t="shared" si="40"/>
        <v>224</v>
      </c>
      <c r="P401">
        <f t="shared" si="41"/>
        <v>208</v>
      </c>
      <c r="Q401" s="20">
        <f>Table1[[#This Row],[Profit ]]/Table1[[#This Row],[Total Revenue]]</f>
        <v>0.48148148148148145</v>
      </c>
    </row>
    <row r="402" spans="1:17" ht="15.75" thickBot="1" x14ac:dyDescent="0.3">
      <c r="A402" s="11">
        <v>46146</v>
      </c>
      <c r="B402" s="17" t="str">
        <f t="shared" si="36"/>
        <v>6146</v>
      </c>
      <c r="C402" s="17" t="str">
        <f t="shared" si="37"/>
        <v>46</v>
      </c>
      <c r="D402" s="17" t="str">
        <f t="shared" si="38"/>
        <v>Nov</v>
      </c>
      <c r="E402" s="5" t="s">
        <v>74</v>
      </c>
      <c r="F402" s="5" t="s">
        <v>35</v>
      </c>
      <c r="G402" s="5" t="s">
        <v>11</v>
      </c>
      <c r="H402" s="5" t="s">
        <v>63</v>
      </c>
      <c r="I402" s="5" t="s">
        <v>103</v>
      </c>
      <c r="J402" s="6">
        <v>13</v>
      </c>
      <c r="K402" s="5" t="s">
        <v>50</v>
      </c>
      <c r="L402" t="s">
        <v>204</v>
      </c>
      <c r="M402" t="str">
        <f>VLOOKUP(E402,Price!$A$2:$C$9,3,)</f>
        <v>$47.00</v>
      </c>
      <c r="N402">
        <f t="shared" si="39"/>
        <v>1157</v>
      </c>
      <c r="O402">
        <f t="shared" si="40"/>
        <v>611</v>
      </c>
      <c r="P402">
        <f t="shared" si="41"/>
        <v>546</v>
      </c>
      <c r="Q402" s="20">
        <f>Table1[[#This Row],[Profit ]]/Table1[[#This Row],[Total Revenue]]</f>
        <v>0.47191011235955055</v>
      </c>
    </row>
    <row r="403" spans="1:17" ht="15.75" thickBot="1" x14ac:dyDescent="0.3">
      <c r="A403" s="10" t="s">
        <v>189</v>
      </c>
      <c r="B403" s="16" t="str">
        <f t="shared" si="36"/>
        <v>2026</v>
      </c>
      <c r="C403" s="16" t="str">
        <f t="shared" si="37"/>
        <v>26</v>
      </c>
      <c r="D403" s="16" t="str">
        <f t="shared" si="38"/>
        <v>Mar</v>
      </c>
      <c r="E403" s="5" t="s">
        <v>140</v>
      </c>
      <c r="F403" s="5" t="s">
        <v>35</v>
      </c>
      <c r="G403" s="8" t="s">
        <v>43</v>
      </c>
      <c r="H403" s="5" t="s">
        <v>63</v>
      </c>
      <c r="I403" s="8" t="s">
        <v>13</v>
      </c>
      <c r="J403" s="9">
        <v>14</v>
      </c>
      <c r="K403" s="8" t="s">
        <v>19</v>
      </c>
      <c r="L403" t="s">
        <v>216</v>
      </c>
      <c r="M403" t="str">
        <f>VLOOKUP(E403,Price!$A$2:$C$9,3,)</f>
        <v>$64.00</v>
      </c>
      <c r="N403">
        <f t="shared" si="39"/>
        <v>1568</v>
      </c>
      <c r="O403">
        <f t="shared" si="40"/>
        <v>896</v>
      </c>
      <c r="P403">
        <f t="shared" si="41"/>
        <v>672</v>
      </c>
      <c r="Q403" s="20">
        <f>Table1[[#This Row],[Profit ]]/Table1[[#This Row],[Total Revenue]]</f>
        <v>0.42857142857142855</v>
      </c>
    </row>
    <row r="404" spans="1:17" ht="15.75" thickBot="1" x14ac:dyDescent="0.3">
      <c r="A404" s="11" t="s">
        <v>82</v>
      </c>
      <c r="B404" s="17" t="str">
        <f t="shared" si="36"/>
        <v>2026</v>
      </c>
      <c r="C404" s="17" t="str">
        <f t="shared" si="37"/>
        <v>30</v>
      </c>
      <c r="D404" s="17" t="str">
        <f t="shared" si="38"/>
        <v>Apr</v>
      </c>
      <c r="E404" s="5" t="s">
        <v>74</v>
      </c>
      <c r="F404" s="5" t="s">
        <v>90</v>
      </c>
      <c r="G404" s="5" t="s">
        <v>43</v>
      </c>
      <c r="H404" s="5" t="s">
        <v>52</v>
      </c>
      <c r="I404" s="5" t="s">
        <v>49</v>
      </c>
      <c r="J404" s="6">
        <v>11</v>
      </c>
      <c r="K404" s="5" t="s">
        <v>50</v>
      </c>
      <c r="L404" t="s">
        <v>204</v>
      </c>
      <c r="M404" t="str">
        <f>VLOOKUP(E404,Price!$A$2:$C$9,3,)</f>
        <v>$47.00</v>
      </c>
      <c r="N404">
        <f t="shared" si="39"/>
        <v>979</v>
      </c>
      <c r="O404">
        <f t="shared" si="40"/>
        <v>517</v>
      </c>
      <c r="P404">
        <f t="shared" si="41"/>
        <v>462</v>
      </c>
      <c r="Q404" s="20">
        <f>Table1[[#This Row],[Profit ]]/Table1[[#This Row],[Total Revenue]]</f>
        <v>0.47191011235955055</v>
      </c>
    </row>
    <row r="405" spans="1:17" ht="15.75" thickBot="1" x14ac:dyDescent="0.3">
      <c r="A405" s="10">
        <v>46204</v>
      </c>
      <c r="B405" s="16" t="str">
        <f t="shared" si="36"/>
        <v>6204</v>
      </c>
      <c r="C405" s="16" t="str">
        <f t="shared" si="37"/>
        <v>04</v>
      </c>
      <c r="D405" s="16" t="str">
        <f t="shared" si="38"/>
        <v>Oct</v>
      </c>
      <c r="E405" s="5" t="s">
        <v>80</v>
      </c>
      <c r="F405" s="5" t="s">
        <v>90</v>
      </c>
      <c r="G405" s="8" t="s">
        <v>23</v>
      </c>
      <c r="H405" s="5" t="s">
        <v>63</v>
      </c>
      <c r="I405" s="8" t="s">
        <v>73</v>
      </c>
      <c r="J405" s="9">
        <v>14</v>
      </c>
      <c r="K405" s="8" t="s">
        <v>19</v>
      </c>
      <c r="L405" t="s">
        <v>210</v>
      </c>
      <c r="M405" t="str">
        <f>VLOOKUP(E405,Price!$A$2:$C$9,3,)</f>
        <v>$39.00</v>
      </c>
      <c r="N405">
        <f t="shared" si="39"/>
        <v>1064</v>
      </c>
      <c r="O405">
        <f t="shared" si="40"/>
        <v>546</v>
      </c>
      <c r="P405">
        <f t="shared" si="41"/>
        <v>518</v>
      </c>
      <c r="Q405" s="20">
        <f>Table1[[#This Row],[Profit ]]/Table1[[#This Row],[Total Revenue]]</f>
        <v>0.48684210526315791</v>
      </c>
    </row>
    <row r="406" spans="1:17" ht="15.75" thickBot="1" x14ac:dyDescent="0.3">
      <c r="A406" s="11" t="s">
        <v>71</v>
      </c>
      <c r="B406" s="17" t="str">
        <f t="shared" si="36"/>
        <v>2026</v>
      </c>
      <c r="C406" s="17" t="str">
        <f t="shared" si="37"/>
        <v>31</v>
      </c>
      <c r="D406" s="17" t="str">
        <f t="shared" si="38"/>
        <v>Mar</v>
      </c>
      <c r="E406" s="5" t="s">
        <v>34</v>
      </c>
      <c r="F406" s="5" t="s">
        <v>10</v>
      </c>
      <c r="G406" s="5" t="s">
        <v>11</v>
      </c>
      <c r="H406" s="5" t="s">
        <v>12</v>
      </c>
      <c r="I406" s="5" t="s">
        <v>49</v>
      </c>
      <c r="J406" s="6">
        <v>13</v>
      </c>
      <c r="K406" s="5" t="s">
        <v>14</v>
      </c>
      <c r="L406" t="s">
        <v>212</v>
      </c>
      <c r="M406" t="str">
        <f>VLOOKUP(E406,Price!$A$2:$C$9,3,)</f>
        <v>$72.00</v>
      </c>
      <c r="N406">
        <f t="shared" si="39"/>
        <v>1664</v>
      </c>
      <c r="O406">
        <f t="shared" si="40"/>
        <v>936</v>
      </c>
      <c r="P406">
        <f t="shared" si="41"/>
        <v>728</v>
      </c>
      <c r="Q406" s="20">
        <f>Table1[[#This Row],[Profit ]]/Table1[[#This Row],[Total Revenue]]</f>
        <v>0.4375</v>
      </c>
    </row>
    <row r="407" spans="1:17" ht="15.75" thickBot="1" x14ac:dyDescent="0.3">
      <c r="A407" s="10" t="s">
        <v>95</v>
      </c>
      <c r="B407" s="16" t="str">
        <f t="shared" si="36"/>
        <v>2026</v>
      </c>
      <c r="C407" s="16" t="str">
        <f t="shared" si="37"/>
        <v>17</v>
      </c>
      <c r="D407" s="16" t="str">
        <f t="shared" si="38"/>
        <v>Jul</v>
      </c>
      <c r="E407" s="5" t="s">
        <v>72</v>
      </c>
      <c r="F407" s="5" t="s">
        <v>62</v>
      </c>
      <c r="G407" s="8" t="s">
        <v>17</v>
      </c>
      <c r="H407" s="5" t="s">
        <v>12</v>
      </c>
      <c r="I407" s="8" t="s">
        <v>38</v>
      </c>
      <c r="J407" s="9">
        <v>9</v>
      </c>
      <c r="K407" s="8" t="s">
        <v>50</v>
      </c>
      <c r="L407" t="s">
        <v>214</v>
      </c>
      <c r="M407" t="str">
        <f>VLOOKUP(E407,Price!$A$2:$C$9,3,)</f>
        <v>$58.00</v>
      </c>
      <c r="N407">
        <f t="shared" si="39"/>
        <v>945</v>
      </c>
      <c r="O407">
        <f t="shared" si="40"/>
        <v>522</v>
      </c>
      <c r="P407">
        <f t="shared" si="41"/>
        <v>423</v>
      </c>
      <c r="Q407" s="20">
        <f>Table1[[#This Row],[Profit ]]/Table1[[#This Row],[Total Revenue]]</f>
        <v>0.44761904761904764</v>
      </c>
    </row>
    <row r="408" spans="1:17" ht="15.75" thickBot="1" x14ac:dyDescent="0.3">
      <c r="A408" s="11" t="s">
        <v>190</v>
      </c>
      <c r="B408" s="17" t="str">
        <f t="shared" si="36"/>
        <v>2026</v>
      </c>
      <c r="C408" s="17" t="str">
        <f t="shared" si="37"/>
        <v>22</v>
      </c>
      <c r="D408" s="17" t="str">
        <f t="shared" si="38"/>
        <v>Apr</v>
      </c>
      <c r="E408" s="5" t="s">
        <v>72</v>
      </c>
      <c r="F408" s="5" t="s">
        <v>35</v>
      </c>
      <c r="G408" s="5" t="s">
        <v>43</v>
      </c>
      <c r="H408" s="5" t="s">
        <v>138</v>
      </c>
      <c r="I408" s="5" t="s">
        <v>73</v>
      </c>
      <c r="J408" s="6">
        <v>6</v>
      </c>
      <c r="K408" s="5" t="s">
        <v>50</v>
      </c>
      <c r="L408" t="s">
        <v>214</v>
      </c>
      <c r="M408" t="str">
        <f>VLOOKUP(E408,Price!$A$2:$C$9,3,)</f>
        <v>$58.00</v>
      </c>
      <c r="N408">
        <f t="shared" si="39"/>
        <v>630</v>
      </c>
      <c r="O408">
        <f t="shared" si="40"/>
        <v>348</v>
      </c>
      <c r="P408">
        <f t="shared" si="41"/>
        <v>282</v>
      </c>
      <c r="Q408" s="20">
        <f>Table1[[#This Row],[Profit ]]/Table1[[#This Row],[Total Revenue]]</f>
        <v>0.44761904761904764</v>
      </c>
    </row>
    <row r="409" spans="1:17" ht="15.75" thickBot="1" x14ac:dyDescent="0.3">
      <c r="A409" s="10">
        <v>46210</v>
      </c>
      <c r="B409" s="16" t="str">
        <f t="shared" si="36"/>
        <v>6210</v>
      </c>
      <c r="C409" s="16" t="str">
        <f t="shared" si="37"/>
        <v>10</v>
      </c>
      <c r="D409" s="16" t="str">
        <f t="shared" si="38"/>
        <v>Oct</v>
      </c>
      <c r="E409" s="5" t="s">
        <v>140</v>
      </c>
      <c r="F409" s="5" t="s">
        <v>35</v>
      </c>
      <c r="G409" s="8" t="s">
        <v>36</v>
      </c>
      <c r="H409" s="5" t="s">
        <v>138</v>
      </c>
      <c r="I409" s="8" t="s">
        <v>64</v>
      </c>
      <c r="J409" s="9">
        <v>12</v>
      </c>
      <c r="K409" s="8" t="s">
        <v>42</v>
      </c>
      <c r="L409" t="s">
        <v>216</v>
      </c>
      <c r="M409" t="str">
        <f>VLOOKUP(E409,Price!$A$2:$C$9,3,)</f>
        <v>$64.00</v>
      </c>
      <c r="N409">
        <f t="shared" si="39"/>
        <v>1344</v>
      </c>
      <c r="O409">
        <f t="shared" si="40"/>
        <v>768</v>
      </c>
      <c r="P409">
        <f t="shared" si="41"/>
        <v>576</v>
      </c>
      <c r="Q409" s="20">
        <f>Table1[[#This Row],[Profit ]]/Table1[[#This Row],[Total Revenue]]</f>
        <v>0.42857142857142855</v>
      </c>
    </row>
    <row r="410" spans="1:17" ht="15.75" thickBot="1" x14ac:dyDescent="0.3">
      <c r="A410" s="11" t="s">
        <v>122</v>
      </c>
      <c r="B410" s="17" t="str">
        <f t="shared" si="36"/>
        <v>2026</v>
      </c>
      <c r="C410" s="17" t="str">
        <f t="shared" si="37"/>
        <v>18</v>
      </c>
      <c r="D410" s="17" t="str">
        <f t="shared" si="38"/>
        <v>Mar</v>
      </c>
      <c r="E410" s="5" t="s">
        <v>34</v>
      </c>
      <c r="F410" s="5" t="s">
        <v>90</v>
      </c>
      <c r="G410" s="5" t="s">
        <v>23</v>
      </c>
      <c r="H410" s="5" t="s">
        <v>12</v>
      </c>
      <c r="I410" s="5" t="s">
        <v>28</v>
      </c>
      <c r="J410" s="6">
        <v>7</v>
      </c>
      <c r="K410" s="5" t="s">
        <v>14</v>
      </c>
      <c r="L410" t="s">
        <v>212</v>
      </c>
      <c r="M410" t="str">
        <f>VLOOKUP(E410,Price!$A$2:$C$9,3,)</f>
        <v>$72.00</v>
      </c>
      <c r="N410">
        <f t="shared" si="39"/>
        <v>896</v>
      </c>
      <c r="O410">
        <f t="shared" si="40"/>
        <v>504</v>
      </c>
      <c r="P410">
        <f t="shared" si="41"/>
        <v>392</v>
      </c>
      <c r="Q410" s="20">
        <f>Table1[[#This Row],[Profit ]]/Table1[[#This Row],[Total Revenue]]</f>
        <v>0.4375</v>
      </c>
    </row>
    <row r="411" spans="1:17" ht="15.75" thickBot="1" x14ac:dyDescent="0.3">
      <c r="A411" s="10" t="s">
        <v>190</v>
      </c>
      <c r="B411" s="16" t="str">
        <f t="shared" si="36"/>
        <v>2026</v>
      </c>
      <c r="C411" s="16" t="str">
        <f t="shared" si="37"/>
        <v>22</v>
      </c>
      <c r="D411" s="16" t="str">
        <f t="shared" si="38"/>
        <v>Apr</v>
      </c>
      <c r="E411" s="5" t="s">
        <v>97</v>
      </c>
      <c r="F411" s="5" t="s">
        <v>35</v>
      </c>
      <c r="G411" s="8" t="s">
        <v>36</v>
      </c>
      <c r="H411" s="5" t="s">
        <v>138</v>
      </c>
      <c r="I411" s="8" t="s">
        <v>13</v>
      </c>
      <c r="J411" s="9">
        <v>14</v>
      </c>
      <c r="K411" s="8" t="s">
        <v>50</v>
      </c>
      <c r="L411" t="s">
        <v>206</v>
      </c>
      <c r="M411" t="str">
        <f>VLOOKUP(E411,Price!$A$2:$C$9,3,)</f>
        <v>$28.00</v>
      </c>
      <c r="N411">
        <f t="shared" si="39"/>
        <v>756</v>
      </c>
      <c r="O411">
        <f t="shared" si="40"/>
        <v>392</v>
      </c>
      <c r="P411">
        <f t="shared" si="41"/>
        <v>364</v>
      </c>
      <c r="Q411" s="20">
        <f>Table1[[#This Row],[Profit ]]/Table1[[#This Row],[Total Revenue]]</f>
        <v>0.48148148148148145</v>
      </c>
    </row>
    <row r="412" spans="1:17" ht="15.75" thickBot="1" x14ac:dyDescent="0.3">
      <c r="A412" s="11" t="s">
        <v>185</v>
      </c>
      <c r="B412" s="17" t="str">
        <f t="shared" si="36"/>
        <v>2026</v>
      </c>
      <c r="C412" s="17" t="str">
        <f t="shared" si="37"/>
        <v>17</v>
      </c>
      <c r="D412" s="17" t="str">
        <f t="shared" si="38"/>
        <v>May</v>
      </c>
      <c r="E412" s="5" t="s">
        <v>80</v>
      </c>
      <c r="F412" s="5" t="s">
        <v>90</v>
      </c>
      <c r="G412" s="5" t="s">
        <v>36</v>
      </c>
      <c r="H412" s="5" t="s">
        <v>52</v>
      </c>
      <c r="I412" s="5" t="s">
        <v>73</v>
      </c>
      <c r="J412" s="6">
        <v>8</v>
      </c>
      <c r="K412" s="5" t="s">
        <v>50</v>
      </c>
      <c r="L412" t="s">
        <v>210</v>
      </c>
      <c r="M412" t="str">
        <f>VLOOKUP(E412,Price!$A$2:$C$9,3,)</f>
        <v>$39.00</v>
      </c>
      <c r="N412">
        <f t="shared" si="39"/>
        <v>608</v>
      </c>
      <c r="O412">
        <f t="shared" si="40"/>
        <v>312</v>
      </c>
      <c r="P412">
        <f t="shared" si="41"/>
        <v>296</v>
      </c>
      <c r="Q412" s="20">
        <f>Table1[[#This Row],[Profit ]]/Table1[[#This Row],[Total Revenue]]</f>
        <v>0.48684210526315791</v>
      </c>
    </row>
    <row r="413" spans="1:17" ht="15.75" thickBot="1" x14ac:dyDescent="0.3">
      <c r="A413" s="10" t="s">
        <v>121</v>
      </c>
      <c r="B413" s="16" t="str">
        <f t="shared" si="36"/>
        <v>2026</v>
      </c>
      <c r="C413" s="16" t="str">
        <f t="shared" si="37"/>
        <v>14</v>
      </c>
      <c r="D413" s="16" t="str">
        <f t="shared" si="38"/>
        <v>Feb</v>
      </c>
      <c r="E413" s="5" t="s">
        <v>72</v>
      </c>
      <c r="F413" s="5" t="s">
        <v>10</v>
      </c>
      <c r="G413" s="8" t="s">
        <v>11</v>
      </c>
      <c r="H413" s="5" t="s">
        <v>63</v>
      </c>
      <c r="I413" s="8" t="s">
        <v>56</v>
      </c>
      <c r="J413" s="9">
        <v>3</v>
      </c>
      <c r="K413" s="8" t="s">
        <v>14</v>
      </c>
      <c r="L413" t="s">
        <v>214</v>
      </c>
      <c r="M413" t="str">
        <f>VLOOKUP(E413,Price!$A$2:$C$9,3,)</f>
        <v>$58.00</v>
      </c>
      <c r="N413">
        <f t="shared" si="39"/>
        <v>315</v>
      </c>
      <c r="O413">
        <f t="shared" si="40"/>
        <v>174</v>
      </c>
      <c r="P413">
        <f t="shared" si="41"/>
        <v>141</v>
      </c>
      <c r="Q413" s="20">
        <f>Table1[[#This Row],[Profit ]]/Table1[[#This Row],[Total Revenue]]</f>
        <v>0.44761904761904764</v>
      </c>
    </row>
    <row r="414" spans="1:17" ht="15.75" thickBot="1" x14ac:dyDescent="0.3">
      <c r="A414" s="11">
        <v>46302</v>
      </c>
      <c r="B414" s="17" t="str">
        <f t="shared" si="36"/>
        <v>6302</v>
      </c>
      <c r="C414" s="17" t="str">
        <f t="shared" si="37"/>
        <v>02</v>
      </c>
      <c r="D414" s="17" t="str">
        <f t="shared" si="38"/>
        <v>Oct</v>
      </c>
      <c r="E414" s="5" t="s">
        <v>80</v>
      </c>
      <c r="F414" s="5" t="s">
        <v>10</v>
      </c>
      <c r="G414" s="5" t="s">
        <v>11</v>
      </c>
      <c r="H414" s="5" t="s">
        <v>63</v>
      </c>
      <c r="I414" s="5" t="s">
        <v>47</v>
      </c>
      <c r="J414" s="6">
        <v>15</v>
      </c>
      <c r="K414" s="5" t="s">
        <v>50</v>
      </c>
      <c r="L414" t="s">
        <v>210</v>
      </c>
      <c r="M414" t="str">
        <f>VLOOKUP(E414,Price!$A$2:$C$9,3,)</f>
        <v>$39.00</v>
      </c>
      <c r="N414">
        <f t="shared" si="39"/>
        <v>1140</v>
      </c>
      <c r="O414">
        <f t="shared" si="40"/>
        <v>585</v>
      </c>
      <c r="P414">
        <f t="shared" si="41"/>
        <v>555</v>
      </c>
      <c r="Q414" s="20">
        <f>Table1[[#This Row],[Profit ]]/Table1[[#This Row],[Total Revenue]]</f>
        <v>0.48684210526315791</v>
      </c>
    </row>
    <row r="415" spans="1:17" ht="15.75" thickBot="1" x14ac:dyDescent="0.3">
      <c r="A415" s="10" t="s">
        <v>100</v>
      </c>
      <c r="B415" s="16" t="str">
        <f t="shared" si="36"/>
        <v>2026</v>
      </c>
      <c r="C415" s="16" t="str">
        <f t="shared" si="37"/>
        <v>29</v>
      </c>
      <c r="D415" s="16" t="str">
        <f t="shared" si="38"/>
        <v>Mar</v>
      </c>
      <c r="E415" s="5" t="s">
        <v>72</v>
      </c>
      <c r="F415" s="5" t="s">
        <v>35</v>
      </c>
      <c r="G415" s="8" t="s">
        <v>43</v>
      </c>
      <c r="H415" s="5" t="s">
        <v>67</v>
      </c>
      <c r="I415" s="8" t="s">
        <v>38</v>
      </c>
      <c r="J415" s="9">
        <v>5</v>
      </c>
      <c r="K415" s="8" t="s">
        <v>19</v>
      </c>
      <c r="L415" t="s">
        <v>214</v>
      </c>
      <c r="M415" t="str">
        <f>VLOOKUP(E415,Price!$A$2:$C$9,3,)</f>
        <v>$58.00</v>
      </c>
      <c r="N415">
        <f t="shared" si="39"/>
        <v>525</v>
      </c>
      <c r="O415">
        <f t="shared" si="40"/>
        <v>290</v>
      </c>
      <c r="P415">
        <f t="shared" si="41"/>
        <v>235</v>
      </c>
      <c r="Q415" s="20">
        <f>Table1[[#This Row],[Profit ]]/Table1[[#This Row],[Total Revenue]]</f>
        <v>0.44761904761904764</v>
      </c>
    </row>
    <row r="416" spans="1:17" ht="15.75" thickBot="1" x14ac:dyDescent="0.3">
      <c r="A416" s="11">
        <v>46178</v>
      </c>
      <c r="B416" s="17" t="str">
        <f t="shared" si="36"/>
        <v>6178</v>
      </c>
      <c r="C416" s="17" t="str">
        <f t="shared" si="37"/>
        <v>78</v>
      </c>
      <c r="D416" s="17" t="str">
        <f t="shared" si="38"/>
        <v>Dec</v>
      </c>
      <c r="E416" s="5" t="s">
        <v>72</v>
      </c>
      <c r="F416" s="5" t="s">
        <v>35</v>
      </c>
      <c r="G416" s="5" t="s">
        <v>23</v>
      </c>
      <c r="H416" s="5" t="s">
        <v>52</v>
      </c>
      <c r="I416" s="5" t="s">
        <v>33</v>
      </c>
      <c r="J416" s="6">
        <v>2</v>
      </c>
      <c r="K416" s="5" t="s">
        <v>19</v>
      </c>
      <c r="L416" t="s">
        <v>214</v>
      </c>
      <c r="M416" t="str">
        <f>VLOOKUP(E416,Price!$A$2:$C$9,3,)</f>
        <v>$58.00</v>
      </c>
      <c r="N416">
        <f t="shared" si="39"/>
        <v>210</v>
      </c>
      <c r="O416">
        <f t="shared" si="40"/>
        <v>116</v>
      </c>
      <c r="P416">
        <f t="shared" si="41"/>
        <v>94</v>
      </c>
      <c r="Q416" s="20">
        <f>Table1[[#This Row],[Profit ]]/Table1[[#This Row],[Total Revenue]]</f>
        <v>0.44761904761904764</v>
      </c>
    </row>
    <row r="417" spans="1:17" ht="15.75" thickBot="1" x14ac:dyDescent="0.3">
      <c r="A417" s="10" t="s">
        <v>190</v>
      </c>
      <c r="B417" s="16" t="str">
        <f t="shared" si="36"/>
        <v>2026</v>
      </c>
      <c r="C417" s="16" t="str">
        <f t="shared" si="37"/>
        <v>22</v>
      </c>
      <c r="D417" s="16" t="str">
        <f t="shared" si="38"/>
        <v>Apr</v>
      </c>
      <c r="E417" s="5" t="s">
        <v>34</v>
      </c>
      <c r="F417" s="5" t="s">
        <v>62</v>
      </c>
      <c r="G417" s="8" t="s">
        <v>17</v>
      </c>
      <c r="H417" s="5" t="s">
        <v>63</v>
      </c>
      <c r="I417" s="8" t="s">
        <v>28</v>
      </c>
      <c r="J417" s="9">
        <v>14</v>
      </c>
      <c r="K417" s="8" t="s">
        <v>42</v>
      </c>
      <c r="L417" t="s">
        <v>212</v>
      </c>
      <c r="M417" t="str">
        <f>VLOOKUP(E417,Price!$A$2:$C$9,3,)</f>
        <v>$72.00</v>
      </c>
      <c r="N417">
        <f t="shared" si="39"/>
        <v>1792</v>
      </c>
      <c r="O417">
        <f t="shared" si="40"/>
        <v>1008</v>
      </c>
      <c r="P417">
        <f t="shared" si="41"/>
        <v>784</v>
      </c>
      <c r="Q417" s="20">
        <f>Table1[[#This Row],[Profit ]]/Table1[[#This Row],[Total Revenue]]</f>
        <v>0.4375</v>
      </c>
    </row>
    <row r="418" spans="1:17" ht="15.75" thickBot="1" x14ac:dyDescent="0.3">
      <c r="A418" s="11" t="s">
        <v>116</v>
      </c>
      <c r="B418" s="17" t="str">
        <f t="shared" si="36"/>
        <v>2026</v>
      </c>
      <c r="C418" s="17" t="str">
        <f t="shared" si="37"/>
        <v>24</v>
      </c>
      <c r="D418" s="17" t="str">
        <f t="shared" si="38"/>
        <v>Feb</v>
      </c>
      <c r="E418" s="5" t="s">
        <v>34</v>
      </c>
      <c r="F418" s="5" t="s">
        <v>10</v>
      </c>
      <c r="G418" s="5" t="s">
        <v>43</v>
      </c>
      <c r="H418" s="5" t="s">
        <v>138</v>
      </c>
      <c r="I418" s="5" t="s">
        <v>25</v>
      </c>
      <c r="J418" s="6">
        <v>5</v>
      </c>
      <c r="K418" s="5" t="s">
        <v>14</v>
      </c>
      <c r="L418" t="s">
        <v>212</v>
      </c>
      <c r="M418" t="str">
        <f>VLOOKUP(E418,Price!$A$2:$C$9,3,)</f>
        <v>$72.00</v>
      </c>
      <c r="N418">
        <f t="shared" si="39"/>
        <v>640</v>
      </c>
      <c r="O418">
        <f t="shared" si="40"/>
        <v>360</v>
      </c>
      <c r="P418">
        <f t="shared" si="41"/>
        <v>280</v>
      </c>
      <c r="Q418" s="20">
        <f>Table1[[#This Row],[Profit ]]/Table1[[#This Row],[Total Revenue]]</f>
        <v>0.4375</v>
      </c>
    </row>
    <row r="419" spans="1:17" ht="15.75" thickBot="1" x14ac:dyDescent="0.3">
      <c r="A419" s="10" t="s">
        <v>191</v>
      </c>
      <c r="B419" s="16" t="str">
        <f t="shared" si="36"/>
        <v>2026</v>
      </c>
      <c r="C419" s="16" t="str">
        <f t="shared" si="37"/>
        <v>13</v>
      </c>
      <c r="D419" s="16" t="str">
        <f t="shared" si="38"/>
        <v>May</v>
      </c>
      <c r="E419" s="5" t="s">
        <v>140</v>
      </c>
      <c r="F419" s="5" t="s">
        <v>10</v>
      </c>
      <c r="G419" s="8" t="s">
        <v>36</v>
      </c>
      <c r="H419" s="5" t="s">
        <v>52</v>
      </c>
      <c r="I419" s="8" t="s">
        <v>53</v>
      </c>
      <c r="J419" s="9">
        <v>13</v>
      </c>
      <c r="K419" s="8" t="s">
        <v>50</v>
      </c>
      <c r="L419" t="s">
        <v>216</v>
      </c>
      <c r="M419" t="str">
        <f>VLOOKUP(E419,Price!$A$2:$C$9,3,)</f>
        <v>$64.00</v>
      </c>
      <c r="N419">
        <f t="shared" si="39"/>
        <v>1456</v>
      </c>
      <c r="O419">
        <f t="shared" si="40"/>
        <v>832</v>
      </c>
      <c r="P419">
        <f t="shared" si="41"/>
        <v>624</v>
      </c>
      <c r="Q419" s="20">
        <f>Table1[[#This Row],[Profit ]]/Table1[[#This Row],[Total Revenue]]</f>
        <v>0.42857142857142855</v>
      </c>
    </row>
    <row r="420" spans="1:17" ht="15.75" thickBot="1" x14ac:dyDescent="0.3">
      <c r="A420" s="11" t="s">
        <v>20</v>
      </c>
      <c r="B420" s="17" t="str">
        <f t="shared" si="36"/>
        <v>2026</v>
      </c>
      <c r="C420" s="17" t="str">
        <f t="shared" si="37"/>
        <v>30</v>
      </c>
      <c r="D420" s="17" t="str">
        <f t="shared" si="38"/>
        <v>May</v>
      </c>
      <c r="E420" s="5" t="s">
        <v>34</v>
      </c>
      <c r="F420" s="5" t="s">
        <v>10</v>
      </c>
      <c r="G420" s="5" t="s">
        <v>23</v>
      </c>
      <c r="H420" s="5" t="s">
        <v>138</v>
      </c>
      <c r="I420" s="5" t="s">
        <v>33</v>
      </c>
      <c r="J420" s="6">
        <v>3</v>
      </c>
      <c r="K420" s="5" t="s">
        <v>14</v>
      </c>
      <c r="L420" t="s">
        <v>212</v>
      </c>
      <c r="M420" t="str">
        <f>VLOOKUP(E420,Price!$A$2:$C$9,3,)</f>
        <v>$72.00</v>
      </c>
      <c r="N420">
        <f t="shared" si="39"/>
        <v>384</v>
      </c>
      <c r="O420">
        <f t="shared" si="40"/>
        <v>216</v>
      </c>
      <c r="P420">
        <f t="shared" si="41"/>
        <v>168</v>
      </c>
      <c r="Q420" s="20">
        <f>Table1[[#This Row],[Profit ]]/Table1[[#This Row],[Total Revenue]]</f>
        <v>0.4375</v>
      </c>
    </row>
    <row r="421" spans="1:17" ht="15.75" thickBot="1" x14ac:dyDescent="0.3">
      <c r="A421" s="10">
        <v>46176</v>
      </c>
      <c r="B421" s="16" t="str">
        <f t="shared" si="36"/>
        <v>6176</v>
      </c>
      <c r="C421" s="16" t="str">
        <f t="shared" si="37"/>
        <v>76</v>
      </c>
      <c r="D421" s="16" t="str">
        <f t="shared" si="38"/>
        <v>Dec</v>
      </c>
      <c r="E421" s="5" t="s">
        <v>118</v>
      </c>
      <c r="F421" s="5" t="s">
        <v>10</v>
      </c>
      <c r="G421" s="8" t="s">
        <v>23</v>
      </c>
      <c r="H421" s="5" t="s">
        <v>52</v>
      </c>
      <c r="I421" s="8" t="s">
        <v>86</v>
      </c>
      <c r="J421" s="9">
        <v>8</v>
      </c>
      <c r="K421" s="8" t="s">
        <v>19</v>
      </c>
      <c r="L421" t="s">
        <v>218</v>
      </c>
      <c r="M421" t="str">
        <f>VLOOKUP(E421,Price!$A$2:$C$9,3,)</f>
        <v>$67.00</v>
      </c>
      <c r="N421">
        <f t="shared" si="39"/>
        <v>952</v>
      </c>
      <c r="O421">
        <f t="shared" si="40"/>
        <v>536</v>
      </c>
      <c r="P421">
        <f t="shared" si="41"/>
        <v>416</v>
      </c>
      <c r="Q421" s="20">
        <f>Table1[[#This Row],[Profit ]]/Table1[[#This Row],[Total Revenue]]</f>
        <v>0.43697478991596639</v>
      </c>
    </row>
    <row r="422" spans="1:17" ht="15.75" thickBot="1" x14ac:dyDescent="0.3">
      <c r="A422" s="11">
        <v>46030</v>
      </c>
      <c r="B422" s="17" t="str">
        <f t="shared" si="36"/>
        <v>6030</v>
      </c>
      <c r="C422" s="17" t="str">
        <f t="shared" si="37"/>
        <v>30</v>
      </c>
      <c r="D422" s="17" t="str">
        <f t="shared" si="38"/>
        <v>Oct</v>
      </c>
      <c r="E422" s="5" t="s">
        <v>118</v>
      </c>
      <c r="F422" s="5" t="s">
        <v>35</v>
      </c>
      <c r="G422" s="5" t="s">
        <v>11</v>
      </c>
      <c r="H422" s="5" t="s">
        <v>52</v>
      </c>
      <c r="I422" s="5" t="s">
        <v>86</v>
      </c>
      <c r="J422" s="6">
        <v>1</v>
      </c>
      <c r="K422" s="5" t="s">
        <v>50</v>
      </c>
      <c r="L422" t="s">
        <v>218</v>
      </c>
      <c r="M422" t="str">
        <f>VLOOKUP(E422,Price!$A$2:$C$9,3,)</f>
        <v>$67.00</v>
      </c>
      <c r="N422">
        <f t="shared" si="39"/>
        <v>119</v>
      </c>
      <c r="O422">
        <f t="shared" si="40"/>
        <v>67</v>
      </c>
      <c r="P422">
        <f t="shared" si="41"/>
        <v>52</v>
      </c>
      <c r="Q422" s="20">
        <f>Table1[[#This Row],[Profit ]]/Table1[[#This Row],[Total Revenue]]</f>
        <v>0.43697478991596639</v>
      </c>
    </row>
    <row r="423" spans="1:17" ht="15.75" thickBot="1" x14ac:dyDescent="0.3">
      <c r="A423" s="10" t="s">
        <v>156</v>
      </c>
      <c r="B423" s="16" t="str">
        <f t="shared" si="36"/>
        <v>2026</v>
      </c>
      <c r="C423" s="16" t="str">
        <f t="shared" si="37"/>
        <v>30</v>
      </c>
      <c r="D423" s="16" t="str">
        <f t="shared" si="38"/>
        <v>Jan</v>
      </c>
      <c r="E423" s="5" t="s">
        <v>21</v>
      </c>
      <c r="F423" s="5" t="s">
        <v>62</v>
      </c>
      <c r="G423" s="8" t="s">
        <v>36</v>
      </c>
      <c r="H423" s="5" t="s">
        <v>67</v>
      </c>
      <c r="I423" s="8" t="s">
        <v>33</v>
      </c>
      <c r="J423" s="9">
        <v>5</v>
      </c>
      <c r="K423" s="8" t="s">
        <v>42</v>
      </c>
      <c r="L423" t="s">
        <v>208</v>
      </c>
      <c r="M423" t="str">
        <f>VLOOKUP(E423,Price!$A$2:$C$9,3,)</f>
        <v>$14.00</v>
      </c>
      <c r="N423">
        <f t="shared" si="39"/>
        <v>160</v>
      </c>
      <c r="O423">
        <f t="shared" si="40"/>
        <v>70</v>
      </c>
      <c r="P423">
        <f t="shared" si="41"/>
        <v>90</v>
      </c>
      <c r="Q423" s="20">
        <f>Table1[[#This Row],[Profit ]]/Table1[[#This Row],[Total Revenue]]</f>
        <v>0.5625</v>
      </c>
    </row>
    <row r="424" spans="1:17" ht="15.75" thickBot="1" x14ac:dyDescent="0.3">
      <c r="A424" s="11">
        <v>46149</v>
      </c>
      <c r="B424" s="17" t="str">
        <f t="shared" si="36"/>
        <v>6149</v>
      </c>
      <c r="C424" s="17" t="str">
        <f t="shared" si="37"/>
        <v>49</v>
      </c>
      <c r="D424" s="17" t="str">
        <f t="shared" si="38"/>
        <v>Nov</v>
      </c>
      <c r="E424" s="5" t="s">
        <v>118</v>
      </c>
      <c r="F424" s="5" t="s">
        <v>62</v>
      </c>
      <c r="G424" s="5" t="s">
        <v>23</v>
      </c>
      <c r="H424" s="5" t="s">
        <v>63</v>
      </c>
      <c r="I424" s="5" t="s">
        <v>53</v>
      </c>
      <c r="J424" s="6">
        <v>8</v>
      </c>
      <c r="K424" s="5" t="s">
        <v>14</v>
      </c>
      <c r="L424" t="s">
        <v>218</v>
      </c>
      <c r="M424" t="str">
        <f>VLOOKUP(E424,Price!$A$2:$C$9,3,)</f>
        <v>$67.00</v>
      </c>
      <c r="N424">
        <f t="shared" si="39"/>
        <v>952</v>
      </c>
      <c r="O424">
        <f t="shared" si="40"/>
        <v>536</v>
      </c>
      <c r="P424">
        <f t="shared" si="41"/>
        <v>416</v>
      </c>
      <c r="Q424" s="20">
        <f>Table1[[#This Row],[Profit ]]/Table1[[#This Row],[Total Revenue]]</f>
        <v>0.43697478991596639</v>
      </c>
    </row>
    <row r="425" spans="1:17" ht="15.75" thickBot="1" x14ac:dyDescent="0.3">
      <c r="A425" s="10" t="s">
        <v>190</v>
      </c>
      <c r="B425" s="16" t="str">
        <f t="shared" si="36"/>
        <v>2026</v>
      </c>
      <c r="C425" s="16" t="str">
        <f t="shared" si="37"/>
        <v>22</v>
      </c>
      <c r="D425" s="16" t="str">
        <f t="shared" si="38"/>
        <v>Apr</v>
      </c>
      <c r="E425" s="5" t="s">
        <v>21</v>
      </c>
      <c r="F425" s="5" t="s">
        <v>10</v>
      </c>
      <c r="G425" s="8" t="s">
        <v>36</v>
      </c>
      <c r="H425" s="5" t="s">
        <v>67</v>
      </c>
      <c r="I425" s="8" t="s">
        <v>41</v>
      </c>
      <c r="J425" s="9">
        <v>4</v>
      </c>
      <c r="K425" s="8" t="s">
        <v>19</v>
      </c>
      <c r="L425" t="s">
        <v>208</v>
      </c>
      <c r="M425" t="str">
        <f>VLOOKUP(E425,Price!$A$2:$C$9,3,)</f>
        <v>$14.00</v>
      </c>
      <c r="N425">
        <f t="shared" si="39"/>
        <v>128</v>
      </c>
      <c r="O425">
        <f t="shared" si="40"/>
        <v>56</v>
      </c>
      <c r="P425">
        <f t="shared" si="41"/>
        <v>72</v>
      </c>
      <c r="Q425" s="20">
        <f>Table1[[#This Row],[Profit ]]/Table1[[#This Row],[Total Revenue]]</f>
        <v>0.5625</v>
      </c>
    </row>
    <row r="426" spans="1:17" ht="15.75" thickBot="1" x14ac:dyDescent="0.3">
      <c r="A426" s="11" t="s">
        <v>192</v>
      </c>
      <c r="B426" s="17" t="str">
        <f t="shared" si="36"/>
        <v>2026</v>
      </c>
      <c r="C426" s="17" t="str">
        <f t="shared" si="37"/>
        <v>29</v>
      </c>
      <c r="D426" s="17" t="str">
        <f t="shared" si="38"/>
        <v>Jun</v>
      </c>
      <c r="E426" s="5" t="s">
        <v>74</v>
      </c>
      <c r="F426" s="5" t="s">
        <v>62</v>
      </c>
      <c r="G426" s="5" t="s">
        <v>36</v>
      </c>
      <c r="H426" s="5" t="s">
        <v>52</v>
      </c>
      <c r="I426" s="5" t="s">
        <v>33</v>
      </c>
      <c r="J426" s="6">
        <v>4</v>
      </c>
      <c r="K426" s="5" t="s">
        <v>19</v>
      </c>
      <c r="L426" t="s">
        <v>204</v>
      </c>
      <c r="M426" t="str">
        <f>VLOOKUP(E426,Price!$A$2:$C$9,3,)</f>
        <v>$47.00</v>
      </c>
      <c r="N426">
        <f t="shared" si="39"/>
        <v>356</v>
      </c>
      <c r="O426">
        <f t="shared" si="40"/>
        <v>188</v>
      </c>
      <c r="P426">
        <f t="shared" si="41"/>
        <v>168</v>
      </c>
      <c r="Q426" s="20">
        <f>Table1[[#This Row],[Profit ]]/Table1[[#This Row],[Total Revenue]]</f>
        <v>0.47191011235955055</v>
      </c>
    </row>
    <row r="427" spans="1:17" ht="15.75" thickBot="1" x14ac:dyDescent="0.3">
      <c r="A427" s="10">
        <v>46361</v>
      </c>
      <c r="B427" s="16" t="str">
        <f t="shared" si="36"/>
        <v>6361</v>
      </c>
      <c r="C427" s="16" t="str">
        <f t="shared" si="37"/>
        <v>61</v>
      </c>
      <c r="D427" s="16" t="str">
        <f t="shared" si="38"/>
        <v>Nov</v>
      </c>
      <c r="E427" s="5" t="s">
        <v>140</v>
      </c>
      <c r="F427" s="5" t="s">
        <v>62</v>
      </c>
      <c r="G427" s="8" t="s">
        <v>17</v>
      </c>
      <c r="H427" s="5" t="s">
        <v>67</v>
      </c>
      <c r="I427" s="8" t="s">
        <v>73</v>
      </c>
      <c r="J427" s="9">
        <v>10</v>
      </c>
      <c r="K427" s="8" t="s">
        <v>19</v>
      </c>
      <c r="L427" t="s">
        <v>216</v>
      </c>
      <c r="M427" t="str">
        <f>VLOOKUP(E427,Price!$A$2:$C$9,3,)</f>
        <v>$64.00</v>
      </c>
      <c r="N427">
        <f t="shared" si="39"/>
        <v>1120</v>
      </c>
      <c r="O427">
        <f t="shared" si="40"/>
        <v>640</v>
      </c>
      <c r="P427">
        <f t="shared" si="41"/>
        <v>480</v>
      </c>
      <c r="Q427" s="20">
        <f>Table1[[#This Row],[Profit ]]/Table1[[#This Row],[Total Revenue]]</f>
        <v>0.42857142857142855</v>
      </c>
    </row>
    <row r="428" spans="1:17" ht="15.75" thickBot="1" x14ac:dyDescent="0.3">
      <c r="A428" s="11">
        <v>46267</v>
      </c>
      <c r="B428" s="17" t="str">
        <f t="shared" si="36"/>
        <v>6267</v>
      </c>
      <c r="C428" s="17" t="str">
        <f t="shared" si="37"/>
        <v>67</v>
      </c>
      <c r="D428" s="17" t="str">
        <f t="shared" si="38"/>
        <v>Dec</v>
      </c>
      <c r="E428" s="5" t="s">
        <v>140</v>
      </c>
      <c r="F428" s="5" t="s">
        <v>10</v>
      </c>
      <c r="G428" s="5" t="s">
        <v>11</v>
      </c>
      <c r="H428" s="5" t="s">
        <v>63</v>
      </c>
      <c r="I428" s="5" t="s">
        <v>13</v>
      </c>
      <c r="J428" s="6">
        <v>8</v>
      </c>
      <c r="K428" s="5" t="s">
        <v>42</v>
      </c>
      <c r="L428" t="s">
        <v>216</v>
      </c>
      <c r="M428" t="str">
        <f>VLOOKUP(E428,Price!$A$2:$C$9,3,)</f>
        <v>$64.00</v>
      </c>
      <c r="N428">
        <f t="shared" si="39"/>
        <v>896</v>
      </c>
      <c r="O428">
        <f t="shared" si="40"/>
        <v>512</v>
      </c>
      <c r="P428">
        <f t="shared" si="41"/>
        <v>384</v>
      </c>
      <c r="Q428" s="20">
        <f>Table1[[#This Row],[Profit ]]/Table1[[#This Row],[Total Revenue]]</f>
        <v>0.42857142857142855</v>
      </c>
    </row>
    <row r="429" spans="1:17" ht="15.75" thickBot="1" x14ac:dyDescent="0.3">
      <c r="A429" s="10" t="s">
        <v>153</v>
      </c>
      <c r="B429" s="16" t="str">
        <f t="shared" si="36"/>
        <v>2026</v>
      </c>
      <c r="C429" s="16" t="str">
        <f t="shared" si="37"/>
        <v>27</v>
      </c>
      <c r="D429" s="16" t="str">
        <f t="shared" si="38"/>
        <v>Mar</v>
      </c>
      <c r="E429" s="5" t="s">
        <v>74</v>
      </c>
      <c r="F429" s="5" t="s">
        <v>62</v>
      </c>
      <c r="G429" s="8" t="s">
        <v>23</v>
      </c>
      <c r="H429" s="5" t="s">
        <v>12</v>
      </c>
      <c r="I429" s="8" t="s">
        <v>33</v>
      </c>
      <c r="J429" s="9">
        <v>5</v>
      </c>
      <c r="K429" s="8" t="s">
        <v>14</v>
      </c>
      <c r="L429" t="s">
        <v>204</v>
      </c>
      <c r="M429" t="str">
        <f>VLOOKUP(E429,Price!$A$2:$C$9,3,)</f>
        <v>$47.00</v>
      </c>
      <c r="N429">
        <f t="shared" si="39"/>
        <v>445</v>
      </c>
      <c r="O429">
        <f t="shared" si="40"/>
        <v>235</v>
      </c>
      <c r="P429">
        <f t="shared" si="41"/>
        <v>210</v>
      </c>
      <c r="Q429" s="20">
        <f>Table1[[#This Row],[Profit ]]/Table1[[#This Row],[Total Revenue]]</f>
        <v>0.47191011235955055</v>
      </c>
    </row>
    <row r="430" spans="1:17" ht="15.75" thickBot="1" x14ac:dyDescent="0.3">
      <c r="A430" s="11" t="s">
        <v>145</v>
      </c>
      <c r="B430" s="17" t="str">
        <f t="shared" si="36"/>
        <v>2026</v>
      </c>
      <c r="C430" s="17" t="str">
        <f t="shared" si="37"/>
        <v>25</v>
      </c>
      <c r="D430" s="17" t="str">
        <f t="shared" si="38"/>
        <v>Mar</v>
      </c>
      <c r="E430" s="5" t="s">
        <v>140</v>
      </c>
      <c r="F430" s="5" t="s">
        <v>62</v>
      </c>
      <c r="G430" s="5" t="s">
        <v>11</v>
      </c>
      <c r="H430" s="5" t="s">
        <v>138</v>
      </c>
      <c r="I430" s="5" t="s">
        <v>103</v>
      </c>
      <c r="J430" s="6">
        <v>2</v>
      </c>
      <c r="K430" s="5" t="s">
        <v>19</v>
      </c>
      <c r="L430" t="s">
        <v>216</v>
      </c>
      <c r="M430" t="str">
        <f>VLOOKUP(E430,Price!$A$2:$C$9,3,)</f>
        <v>$64.00</v>
      </c>
      <c r="N430">
        <f t="shared" si="39"/>
        <v>224</v>
      </c>
      <c r="O430">
        <f t="shared" si="40"/>
        <v>128</v>
      </c>
      <c r="P430">
        <f t="shared" si="41"/>
        <v>96</v>
      </c>
      <c r="Q430" s="20">
        <f>Table1[[#This Row],[Profit ]]/Table1[[#This Row],[Total Revenue]]</f>
        <v>0.42857142857142855</v>
      </c>
    </row>
    <row r="431" spans="1:17" ht="15.75" thickBot="1" x14ac:dyDescent="0.3">
      <c r="A431" s="10">
        <v>46180</v>
      </c>
      <c r="B431" s="16" t="str">
        <f t="shared" si="36"/>
        <v>6180</v>
      </c>
      <c r="C431" s="16" t="str">
        <f t="shared" si="37"/>
        <v>80</v>
      </c>
      <c r="D431" s="16" t="str">
        <f t="shared" si="38"/>
        <v>Dec</v>
      </c>
      <c r="E431" s="5" t="s">
        <v>34</v>
      </c>
      <c r="F431" s="5" t="s">
        <v>62</v>
      </c>
      <c r="G431" s="8" t="s">
        <v>11</v>
      </c>
      <c r="H431" s="5" t="s">
        <v>138</v>
      </c>
      <c r="I431" s="8" t="s">
        <v>103</v>
      </c>
      <c r="J431" s="9">
        <v>6</v>
      </c>
      <c r="K431" s="8" t="s">
        <v>50</v>
      </c>
      <c r="L431" t="s">
        <v>212</v>
      </c>
      <c r="M431" t="str">
        <f>VLOOKUP(E431,Price!$A$2:$C$9,3,)</f>
        <v>$72.00</v>
      </c>
      <c r="N431">
        <f t="shared" si="39"/>
        <v>768</v>
      </c>
      <c r="O431">
        <f t="shared" si="40"/>
        <v>432</v>
      </c>
      <c r="P431">
        <f t="shared" si="41"/>
        <v>336</v>
      </c>
      <c r="Q431" s="20">
        <f>Table1[[#This Row],[Profit ]]/Table1[[#This Row],[Total Revenue]]</f>
        <v>0.4375</v>
      </c>
    </row>
    <row r="432" spans="1:17" ht="15.75" thickBot="1" x14ac:dyDescent="0.3">
      <c r="A432" s="11" t="s">
        <v>193</v>
      </c>
      <c r="B432" s="17" t="str">
        <f t="shared" si="36"/>
        <v>2026</v>
      </c>
      <c r="C432" s="17" t="str">
        <f t="shared" si="37"/>
        <v>13</v>
      </c>
      <c r="D432" s="17" t="str">
        <f t="shared" si="38"/>
        <v>Aug</v>
      </c>
      <c r="E432" s="5" t="s">
        <v>140</v>
      </c>
      <c r="F432" s="5" t="s">
        <v>62</v>
      </c>
      <c r="G432" s="5" t="s">
        <v>36</v>
      </c>
      <c r="H432" s="5" t="s">
        <v>67</v>
      </c>
      <c r="I432" s="5" t="s">
        <v>56</v>
      </c>
      <c r="J432" s="6">
        <v>7</v>
      </c>
      <c r="K432" s="5" t="s">
        <v>42</v>
      </c>
      <c r="L432" t="s">
        <v>216</v>
      </c>
      <c r="M432" t="str">
        <f>VLOOKUP(E432,Price!$A$2:$C$9,3,)</f>
        <v>$64.00</v>
      </c>
      <c r="N432">
        <f t="shared" si="39"/>
        <v>784</v>
      </c>
      <c r="O432">
        <f t="shared" si="40"/>
        <v>448</v>
      </c>
      <c r="P432">
        <f t="shared" si="41"/>
        <v>336</v>
      </c>
      <c r="Q432" s="20">
        <f>Table1[[#This Row],[Profit ]]/Table1[[#This Row],[Total Revenue]]</f>
        <v>0.42857142857142855</v>
      </c>
    </row>
    <row r="433" spans="1:17" ht="15.75" thickBot="1" x14ac:dyDescent="0.3">
      <c r="A433" s="10" t="s">
        <v>183</v>
      </c>
      <c r="B433" s="16" t="str">
        <f t="shared" si="36"/>
        <v>2026</v>
      </c>
      <c r="C433" s="16" t="str">
        <f t="shared" si="37"/>
        <v>28</v>
      </c>
      <c r="D433" s="16" t="str">
        <f t="shared" si="38"/>
        <v>Jun</v>
      </c>
      <c r="E433" s="5" t="s">
        <v>80</v>
      </c>
      <c r="F433" s="5" t="s">
        <v>10</v>
      </c>
      <c r="G433" s="8" t="s">
        <v>23</v>
      </c>
      <c r="H433" s="5" t="s">
        <v>63</v>
      </c>
      <c r="I433" s="8" t="s">
        <v>47</v>
      </c>
      <c r="J433" s="9">
        <v>3</v>
      </c>
      <c r="K433" s="8" t="s">
        <v>19</v>
      </c>
      <c r="L433" t="s">
        <v>210</v>
      </c>
      <c r="M433" t="str">
        <f>VLOOKUP(E433,Price!$A$2:$C$9,3,)</f>
        <v>$39.00</v>
      </c>
      <c r="N433">
        <f t="shared" si="39"/>
        <v>228</v>
      </c>
      <c r="O433">
        <f t="shared" si="40"/>
        <v>117</v>
      </c>
      <c r="P433">
        <f t="shared" si="41"/>
        <v>111</v>
      </c>
      <c r="Q433" s="20">
        <f>Table1[[#This Row],[Profit ]]/Table1[[#This Row],[Total Revenue]]</f>
        <v>0.48684210526315791</v>
      </c>
    </row>
    <row r="434" spans="1:17" ht="15.75" thickBot="1" x14ac:dyDescent="0.3">
      <c r="A434" s="11" t="s">
        <v>155</v>
      </c>
      <c r="B434" s="17" t="str">
        <f t="shared" si="36"/>
        <v>2026</v>
      </c>
      <c r="C434" s="17" t="str">
        <f t="shared" si="37"/>
        <v>27</v>
      </c>
      <c r="D434" s="17" t="str">
        <f t="shared" si="38"/>
        <v>Feb</v>
      </c>
      <c r="E434" s="5" t="s">
        <v>74</v>
      </c>
      <c r="F434" s="5" t="s">
        <v>10</v>
      </c>
      <c r="G434" s="5" t="s">
        <v>43</v>
      </c>
      <c r="H434" s="5" t="s">
        <v>52</v>
      </c>
      <c r="I434" s="5" t="s">
        <v>103</v>
      </c>
      <c r="J434" s="6">
        <v>5</v>
      </c>
      <c r="K434" s="5" t="s">
        <v>14</v>
      </c>
      <c r="L434" t="s">
        <v>204</v>
      </c>
      <c r="M434" t="str">
        <f>VLOOKUP(E434,Price!$A$2:$C$9,3,)</f>
        <v>$47.00</v>
      </c>
      <c r="N434">
        <f t="shared" si="39"/>
        <v>445</v>
      </c>
      <c r="O434">
        <f t="shared" si="40"/>
        <v>235</v>
      </c>
      <c r="P434">
        <f t="shared" si="41"/>
        <v>210</v>
      </c>
      <c r="Q434" s="20">
        <f>Table1[[#This Row],[Profit ]]/Table1[[#This Row],[Total Revenue]]</f>
        <v>0.47191011235955055</v>
      </c>
    </row>
    <row r="435" spans="1:17" ht="15.75" thickBot="1" x14ac:dyDescent="0.3">
      <c r="A435" s="10" t="s">
        <v>129</v>
      </c>
      <c r="B435" s="16" t="str">
        <f t="shared" si="36"/>
        <v>2026</v>
      </c>
      <c r="C435" s="16" t="str">
        <f t="shared" si="37"/>
        <v>21</v>
      </c>
      <c r="D435" s="16" t="str">
        <f t="shared" si="38"/>
        <v>Feb</v>
      </c>
      <c r="E435" s="5" t="s">
        <v>21</v>
      </c>
      <c r="F435" s="5" t="s">
        <v>90</v>
      </c>
      <c r="G435" s="8" t="s">
        <v>23</v>
      </c>
      <c r="H435" s="5" t="s">
        <v>52</v>
      </c>
      <c r="I435" s="8" t="s">
        <v>41</v>
      </c>
      <c r="J435" s="9">
        <v>3</v>
      </c>
      <c r="K435" s="8" t="s">
        <v>14</v>
      </c>
      <c r="L435" t="s">
        <v>208</v>
      </c>
      <c r="M435" t="str">
        <f>VLOOKUP(E435,Price!$A$2:$C$9,3,)</f>
        <v>$14.00</v>
      </c>
      <c r="N435">
        <f t="shared" si="39"/>
        <v>96</v>
      </c>
      <c r="O435">
        <f t="shared" si="40"/>
        <v>42</v>
      </c>
      <c r="P435">
        <f t="shared" si="41"/>
        <v>54</v>
      </c>
      <c r="Q435" s="20">
        <f>Table1[[#This Row],[Profit ]]/Table1[[#This Row],[Total Revenue]]</f>
        <v>0.5625</v>
      </c>
    </row>
    <row r="436" spans="1:17" ht="15.75" thickBot="1" x14ac:dyDescent="0.3">
      <c r="A436" s="11">
        <v>46145</v>
      </c>
      <c r="B436" s="17" t="str">
        <f t="shared" si="36"/>
        <v>6145</v>
      </c>
      <c r="C436" s="17" t="str">
        <f t="shared" si="37"/>
        <v>45</v>
      </c>
      <c r="D436" s="17" t="str">
        <f t="shared" si="38"/>
        <v>Nov</v>
      </c>
      <c r="E436" s="5" t="s">
        <v>140</v>
      </c>
      <c r="F436" s="5" t="s">
        <v>90</v>
      </c>
      <c r="G436" s="5" t="s">
        <v>11</v>
      </c>
      <c r="H436" s="5" t="s">
        <v>138</v>
      </c>
      <c r="I436" s="5" t="s">
        <v>56</v>
      </c>
      <c r="J436" s="6">
        <v>7</v>
      </c>
      <c r="K436" s="5" t="s">
        <v>42</v>
      </c>
      <c r="L436" t="s">
        <v>216</v>
      </c>
      <c r="M436" t="str">
        <f>VLOOKUP(E436,Price!$A$2:$C$9,3,)</f>
        <v>$64.00</v>
      </c>
      <c r="N436">
        <f t="shared" si="39"/>
        <v>784</v>
      </c>
      <c r="O436">
        <f t="shared" si="40"/>
        <v>448</v>
      </c>
      <c r="P436">
        <f t="shared" si="41"/>
        <v>336</v>
      </c>
      <c r="Q436" s="20">
        <f>Table1[[#This Row],[Profit ]]/Table1[[#This Row],[Total Revenue]]</f>
        <v>0.42857142857142855</v>
      </c>
    </row>
    <row r="437" spans="1:17" ht="15.75" thickBot="1" x14ac:dyDescent="0.3">
      <c r="A437" s="10">
        <v>46058</v>
      </c>
      <c r="B437" s="16" t="str">
        <f t="shared" si="36"/>
        <v>6058</v>
      </c>
      <c r="C437" s="16" t="str">
        <f t="shared" si="37"/>
        <v>58</v>
      </c>
      <c r="D437" s="16" t="str">
        <f t="shared" si="38"/>
        <v>Nov</v>
      </c>
      <c r="E437" s="5" t="s">
        <v>21</v>
      </c>
      <c r="F437" s="5" t="s">
        <v>62</v>
      </c>
      <c r="G437" s="8" t="s">
        <v>43</v>
      </c>
      <c r="H437" s="5" t="s">
        <v>52</v>
      </c>
      <c r="I437" s="8" t="s">
        <v>47</v>
      </c>
      <c r="J437" s="9">
        <v>3</v>
      </c>
      <c r="K437" s="8" t="s">
        <v>14</v>
      </c>
      <c r="L437" t="s">
        <v>208</v>
      </c>
      <c r="M437" t="str">
        <f>VLOOKUP(E437,Price!$A$2:$C$9,3,)</f>
        <v>$14.00</v>
      </c>
      <c r="N437">
        <f t="shared" si="39"/>
        <v>96</v>
      </c>
      <c r="O437">
        <f t="shared" si="40"/>
        <v>42</v>
      </c>
      <c r="P437">
        <f t="shared" si="41"/>
        <v>54</v>
      </c>
      <c r="Q437" s="20">
        <f>Table1[[#This Row],[Profit ]]/Table1[[#This Row],[Total Revenue]]</f>
        <v>0.5625</v>
      </c>
    </row>
    <row r="438" spans="1:17" ht="15.75" thickBot="1" x14ac:dyDescent="0.3">
      <c r="A438" s="11" t="s">
        <v>68</v>
      </c>
      <c r="B438" s="17" t="str">
        <f t="shared" si="36"/>
        <v>2026</v>
      </c>
      <c r="C438" s="17" t="str">
        <f t="shared" si="37"/>
        <v>20</v>
      </c>
      <c r="D438" s="17" t="str">
        <f t="shared" si="38"/>
        <v>May</v>
      </c>
      <c r="E438" s="5" t="s">
        <v>34</v>
      </c>
      <c r="F438" s="5" t="s">
        <v>10</v>
      </c>
      <c r="G438" s="5" t="s">
        <v>23</v>
      </c>
      <c r="H438" s="5" t="s">
        <v>52</v>
      </c>
      <c r="I438" s="5" t="s">
        <v>56</v>
      </c>
      <c r="J438" s="6">
        <v>8</v>
      </c>
      <c r="K438" s="5" t="s">
        <v>42</v>
      </c>
      <c r="L438" t="s">
        <v>212</v>
      </c>
      <c r="M438" t="str">
        <f>VLOOKUP(E438,Price!$A$2:$C$9,3,)</f>
        <v>$72.00</v>
      </c>
      <c r="N438">
        <f t="shared" si="39"/>
        <v>1024</v>
      </c>
      <c r="O438">
        <f t="shared" si="40"/>
        <v>576</v>
      </c>
      <c r="P438">
        <f t="shared" si="41"/>
        <v>448</v>
      </c>
      <c r="Q438" s="20">
        <f>Table1[[#This Row],[Profit ]]/Table1[[#This Row],[Total Revenue]]</f>
        <v>0.4375</v>
      </c>
    </row>
    <row r="439" spans="1:17" ht="15.75" thickBot="1" x14ac:dyDescent="0.3">
      <c r="A439" s="10" t="s">
        <v>150</v>
      </c>
      <c r="B439" s="16" t="str">
        <f t="shared" si="36"/>
        <v>2026</v>
      </c>
      <c r="C439" s="16" t="str">
        <f t="shared" si="37"/>
        <v>24</v>
      </c>
      <c r="D439" s="16" t="str">
        <f t="shared" si="38"/>
        <v>Mar</v>
      </c>
      <c r="E439" s="5" t="s">
        <v>21</v>
      </c>
      <c r="F439" s="5" t="s">
        <v>62</v>
      </c>
      <c r="G439" s="8" t="s">
        <v>11</v>
      </c>
      <c r="H439" s="5" t="s">
        <v>63</v>
      </c>
      <c r="I439" s="8" t="s">
        <v>64</v>
      </c>
      <c r="J439" s="9">
        <v>3</v>
      </c>
      <c r="K439" s="8" t="s">
        <v>19</v>
      </c>
      <c r="L439" t="s">
        <v>208</v>
      </c>
      <c r="M439" t="str">
        <f>VLOOKUP(E439,Price!$A$2:$C$9,3,)</f>
        <v>$14.00</v>
      </c>
      <c r="N439">
        <f t="shared" si="39"/>
        <v>96</v>
      </c>
      <c r="O439">
        <f t="shared" si="40"/>
        <v>42</v>
      </c>
      <c r="P439">
        <f t="shared" si="41"/>
        <v>54</v>
      </c>
      <c r="Q439" s="20">
        <f>Table1[[#This Row],[Profit ]]/Table1[[#This Row],[Total Revenue]]</f>
        <v>0.5625</v>
      </c>
    </row>
    <row r="440" spans="1:17" ht="15.75" thickBot="1" x14ac:dyDescent="0.3">
      <c r="A440" s="11">
        <v>46059</v>
      </c>
      <c r="B440" s="17" t="str">
        <f t="shared" si="36"/>
        <v>6059</v>
      </c>
      <c r="C440" s="17" t="str">
        <f t="shared" si="37"/>
        <v>59</v>
      </c>
      <c r="D440" s="17" t="str">
        <f t="shared" si="38"/>
        <v>Nov</v>
      </c>
      <c r="E440" s="5" t="s">
        <v>118</v>
      </c>
      <c r="F440" s="5" t="s">
        <v>35</v>
      </c>
      <c r="G440" s="5" t="s">
        <v>36</v>
      </c>
      <c r="H440" s="5" t="s">
        <v>67</v>
      </c>
      <c r="I440" s="5" t="s">
        <v>41</v>
      </c>
      <c r="J440" s="6">
        <v>5</v>
      </c>
      <c r="K440" s="5" t="s">
        <v>42</v>
      </c>
      <c r="L440" t="s">
        <v>218</v>
      </c>
      <c r="M440" t="str">
        <f>VLOOKUP(E440,Price!$A$2:$C$9,3,)</f>
        <v>$67.00</v>
      </c>
      <c r="N440">
        <f t="shared" si="39"/>
        <v>595</v>
      </c>
      <c r="O440">
        <f t="shared" si="40"/>
        <v>335</v>
      </c>
      <c r="P440">
        <f t="shared" si="41"/>
        <v>260</v>
      </c>
      <c r="Q440" s="20">
        <f>Table1[[#This Row],[Profit ]]/Table1[[#This Row],[Total Revenue]]</f>
        <v>0.43697478991596639</v>
      </c>
    </row>
    <row r="441" spans="1:17" ht="15.75" thickBot="1" x14ac:dyDescent="0.3">
      <c r="A441" s="10" t="s">
        <v>165</v>
      </c>
      <c r="B441" s="16" t="str">
        <f t="shared" si="36"/>
        <v>2026</v>
      </c>
      <c r="C441" s="16" t="str">
        <f t="shared" si="37"/>
        <v>14</v>
      </c>
      <c r="D441" s="16" t="str">
        <f t="shared" si="38"/>
        <v>Apr</v>
      </c>
      <c r="E441" s="5" t="s">
        <v>74</v>
      </c>
      <c r="F441" s="5" t="s">
        <v>62</v>
      </c>
      <c r="G441" s="8" t="s">
        <v>11</v>
      </c>
      <c r="H441" s="5" t="s">
        <v>52</v>
      </c>
      <c r="I441" s="8" t="s">
        <v>56</v>
      </c>
      <c r="J441" s="9">
        <v>3</v>
      </c>
      <c r="K441" s="8" t="s">
        <v>50</v>
      </c>
      <c r="L441" t="s">
        <v>204</v>
      </c>
      <c r="M441" t="str">
        <f>VLOOKUP(E441,Price!$A$2:$C$9,3,)</f>
        <v>$47.00</v>
      </c>
      <c r="N441">
        <f t="shared" si="39"/>
        <v>267</v>
      </c>
      <c r="O441">
        <f t="shared" si="40"/>
        <v>141</v>
      </c>
      <c r="P441">
        <f t="shared" si="41"/>
        <v>126</v>
      </c>
      <c r="Q441" s="20">
        <f>Table1[[#This Row],[Profit ]]/Table1[[#This Row],[Total Revenue]]</f>
        <v>0.47191011235955055</v>
      </c>
    </row>
    <row r="442" spans="1:17" ht="15.75" thickBot="1" x14ac:dyDescent="0.3">
      <c r="A442" s="11" t="s">
        <v>168</v>
      </c>
      <c r="B442" s="17" t="str">
        <f t="shared" si="36"/>
        <v>2026</v>
      </c>
      <c r="C442" s="17" t="str">
        <f t="shared" si="37"/>
        <v>16</v>
      </c>
      <c r="D442" s="17" t="str">
        <f t="shared" si="38"/>
        <v>Jun</v>
      </c>
      <c r="E442" s="5" t="s">
        <v>72</v>
      </c>
      <c r="F442" s="5" t="s">
        <v>10</v>
      </c>
      <c r="G442" s="5" t="s">
        <v>17</v>
      </c>
      <c r="H442" s="5" t="s">
        <v>52</v>
      </c>
      <c r="I442" s="5" t="s">
        <v>103</v>
      </c>
      <c r="J442" s="6">
        <v>13</v>
      </c>
      <c r="K442" s="5" t="s">
        <v>19</v>
      </c>
      <c r="L442" t="s">
        <v>214</v>
      </c>
      <c r="M442" t="str">
        <f>VLOOKUP(E442,Price!$A$2:$C$9,3,)</f>
        <v>$58.00</v>
      </c>
      <c r="N442">
        <f t="shared" si="39"/>
        <v>1365</v>
      </c>
      <c r="O442">
        <f t="shared" si="40"/>
        <v>754</v>
      </c>
      <c r="P442">
        <f t="shared" si="41"/>
        <v>611</v>
      </c>
      <c r="Q442" s="20">
        <f>Table1[[#This Row],[Profit ]]/Table1[[#This Row],[Total Revenue]]</f>
        <v>0.44761904761904764</v>
      </c>
    </row>
    <row r="443" spans="1:17" ht="15.75" thickBot="1" x14ac:dyDescent="0.3">
      <c r="A443" s="10">
        <v>46023</v>
      </c>
      <c r="B443" s="16" t="str">
        <f t="shared" si="36"/>
        <v>6023</v>
      </c>
      <c r="C443" s="16" t="str">
        <f t="shared" si="37"/>
        <v>23</v>
      </c>
      <c r="D443" s="16" t="str">
        <f t="shared" si="38"/>
        <v>Oct</v>
      </c>
      <c r="E443" s="5" t="s">
        <v>80</v>
      </c>
      <c r="F443" s="5" t="s">
        <v>62</v>
      </c>
      <c r="G443" s="8" t="s">
        <v>11</v>
      </c>
      <c r="H443" s="5" t="s">
        <v>52</v>
      </c>
      <c r="I443" s="8" t="s">
        <v>53</v>
      </c>
      <c r="J443" s="9">
        <v>12</v>
      </c>
      <c r="K443" s="8" t="s">
        <v>42</v>
      </c>
      <c r="L443" t="s">
        <v>210</v>
      </c>
      <c r="M443" t="str">
        <f>VLOOKUP(E443,Price!$A$2:$C$9,3,)</f>
        <v>$39.00</v>
      </c>
      <c r="N443">
        <f t="shared" si="39"/>
        <v>912</v>
      </c>
      <c r="O443">
        <f t="shared" si="40"/>
        <v>468</v>
      </c>
      <c r="P443">
        <f t="shared" si="41"/>
        <v>444</v>
      </c>
      <c r="Q443" s="20">
        <f>Table1[[#This Row],[Profit ]]/Table1[[#This Row],[Total Revenue]]</f>
        <v>0.48684210526315791</v>
      </c>
    </row>
    <row r="444" spans="1:17" ht="15.75" thickBot="1" x14ac:dyDescent="0.3">
      <c r="A444" s="11">
        <v>46119</v>
      </c>
      <c r="B444" s="17" t="str">
        <f t="shared" si="36"/>
        <v>6119</v>
      </c>
      <c r="C444" s="17" t="str">
        <f t="shared" si="37"/>
        <v>19</v>
      </c>
      <c r="D444" s="17" t="str">
        <f t="shared" si="38"/>
        <v>Oct</v>
      </c>
      <c r="E444" s="5" t="s">
        <v>74</v>
      </c>
      <c r="F444" s="5" t="s">
        <v>62</v>
      </c>
      <c r="G444" s="5" t="s">
        <v>17</v>
      </c>
      <c r="H444" s="5" t="s">
        <v>52</v>
      </c>
      <c r="I444" s="5" t="s">
        <v>41</v>
      </c>
      <c r="J444" s="6">
        <v>3</v>
      </c>
      <c r="K444" s="5" t="s">
        <v>19</v>
      </c>
      <c r="L444" t="s">
        <v>204</v>
      </c>
      <c r="M444" t="str">
        <f>VLOOKUP(E444,Price!$A$2:$C$9,3,)</f>
        <v>$47.00</v>
      </c>
      <c r="N444">
        <f t="shared" si="39"/>
        <v>267</v>
      </c>
      <c r="O444">
        <f t="shared" si="40"/>
        <v>141</v>
      </c>
      <c r="P444">
        <f t="shared" si="41"/>
        <v>126</v>
      </c>
      <c r="Q444" s="20">
        <f>Table1[[#This Row],[Profit ]]/Table1[[#This Row],[Total Revenue]]</f>
        <v>0.47191011235955055</v>
      </c>
    </row>
    <row r="445" spans="1:17" ht="15.75" thickBot="1" x14ac:dyDescent="0.3">
      <c r="A445" s="10" t="s">
        <v>179</v>
      </c>
      <c r="B445" s="16" t="str">
        <f t="shared" si="36"/>
        <v>2026</v>
      </c>
      <c r="C445" s="16" t="str">
        <f t="shared" si="37"/>
        <v>15</v>
      </c>
      <c r="D445" s="16" t="str">
        <f t="shared" si="38"/>
        <v>Jun</v>
      </c>
      <c r="E445" s="5" t="s">
        <v>72</v>
      </c>
      <c r="F445" s="5" t="s">
        <v>90</v>
      </c>
      <c r="G445" s="8" t="s">
        <v>43</v>
      </c>
      <c r="H445" s="5" t="s">
        <v>52</v>
      </c>
      <c r="I445" s="8" t="s">
        <v>28</v>
      </c>
      <c r="J445" s="9">
        <v>2</v>
      </c>
      <c r="K445" s="8" t="s">
        <v>42</v>
      </c>
      <c r="L445" t="s">
        <v>214</v>
      </c>
      <c r="M445" t="str">
        <f>VLOOKUP(E445,Price!$A$2:$C$9,3,)</f>
        <v>$58.00</v>
      </c>
      <c r="N445">
        <f t="shared" si="39"/>
        <v>210</v>
      </c>
      <c r="O445">
        <f t="shared" si="40"/>
        <v>116</v>
      </c>
      <c r="P445">
        <f t="shared" si="41"/>
        <v>94</v>
      </c>
      <c r="Q445" s="20">
        <f>Table1[[#This Row],[Profit ]]/Table1[[#This Row],[Total Revenue]]</f>
        <v>0.44761904761904764</v>
      </c>
    </row>
    <row r="446" spans="1:17" ht="15.75" thickBot="1" x14ac:dyDescent="0.3">
      <c r="A446" s="11">
        <v>46148</v>
      </c>
      <c r="B446" s="17" t="str">
        <f t="shared" si="36"/>
        <v>6148</v>
      </c>
      <c r="C446" s="17" t="str">
        <f t="shared" si="37"/>
        <v>48</v>
      </c>
      <c r="D446" s="17" t="str">
        <f t="shared" si="38"/>
        <v>Nov</v>
      </c>
      <c r="E446" s="5" t="s">
        <v>34</v>
      </c>
      <c r="F446" s="5" t="s">
        <v>10</v>
      </c>
      <c r="G446" s="5" t="s">
        <v>17</v>
      </c>
      <c r="H446" s="5" t="s">
        <v>63</v>
      </c>
      <c r="I446" s="5" t="s">
        <v>49</v>
      </c>
      <c r="J446" s="6">
        <v>14</v>
      </c>
      <c r="K446" s="5" t="s">
        <v>42</v>
      </c>
      <c r="L446" t="s">
        <v>212</v>
      </c>
      <c r="M446" t="str">
        <f>VLOOKUP(E446,Price!$A$2:$C$9,3,)</f>
        <v>$72.00</v>
      </c>
      <c r="N446">
        <f t="shared" si="39"/>
        <v>1792</v>
      </c>
      <c r="O446">
        <f t="shared" si="40"/>
        <v>1008</v>
      </c>
      <c r="P446">
        <f t="shared" si="41"/>
        <v>784</v>
      </c>
      <c r="Q446" s="20">
        <f>Table1[[#This Row],[Profit ]]/Table1[[#This Row],[Total Revenue]]</f>
        <v>0.4375</v>
      </c>
    </row>
    <row r="447" spans="1:17" ht="15.75" thickBot="1" x14ac:dyDescent="0.3">
      <c r="A447" s="10" t="s">
        <v>130</v>
      </c>
      <c r="B447" s="16" t="str">
        <f t="shared" si="36"/>
        <v>2026</v>
      </c>
      <c r="C447" s="16" t="str">
        <f t="shared" si="37"/>
        <v>20</v>
      </c>
      <c r="D447" s="16" t="str">
        <f t="shared" si="38"/>
        <v>Jun</v>
      </c>
      <c r="E447" s="5" t="s">
        <v>140</v>
      </c>
      <c r="F447" s="5" t="s">
        <v>10</v>
      </c>
      <c r="G447" s="8" t="s">
        <v>11</v>
      </c>
      <c r="H447" s="5" t="s">
        <v>52</v>
      </c>
      <c r="I447" s="8" t="s">
        <v>41</v>
      </c>
      <c r="J447" s="9">
        <v>4</v>
      </c>
      <c r="K447" s="8" t="s">
        <v>50</v>
      </c>
      <c r="L447" t="s">
        <v>216</v>
      </c>
      <c r="M447" t="str">
        <f>VLOOKUP(E447,Price!$A$2:$C$9,3,)</f>
        <v>$64.00</v>
      </c>
      <c r="N447">
        <f t="shared" si="39"/>
        <v>448</v>
      </c>
      <c r="O447">
        <f t="shared" si="40"/>
        <v>256</v>
      </c>
      <c r="P447">
        <f t="shared" si="41"/>
        <v>192</v>
      </c>
      <c r="Q447" s="20">
        <f>Table1[[#This Row],[Profit ]]/Table1[[#This Row],[Total Revenue]]</f>
        <v>0.42857142857142855</v>
      </c>
    </row>
    <row r="448" spans="1:17" ht="15.75" thickBot="1" x14ac:dyDescent="0.3">
      <c r="A448" s="11">
        <v>46363</v>
      </c>
      <c r="B448" s="17" t="str">
        <f t="shared" si="36"/>
        <v>6363</v>
      </c>
      <c r="C448" s="17" t="str">
        <f t="shared" si="37"/>
        <v>63</v>
      </c>
      <c r="D448" s="17" t="str">
        <f t="shared" si="38"/>
        <v>Dec</v>
      </c>
      <c r="E448" s="5" t="s">
        <v>97</v>
      </c>
      <c r="F448" s="5" t="s">
        <v>10</v>
      </c>
      <c r="G448" s="5" t="s">
        <v>11</v>
      </c>
      <c r="H448" s="5" t="s">
        <v>12</v>
      </c>
      <c r="I448" s="5" t="s">
        <v>13</v>
      </c>
      <c r="J448" s="6">
        <v>4</v>
      </c>
      <c r="K448" s="5" t="s">
        <v>42</v>
      </c>
      <c r="L448" t="s">
        <v>206</v>
      </c>
      <c r="M448" t="str">
        <f>VLOOKUP(E448,Price!$A$2:$C$9,3,)</f>
        <v>$28.00</v>
      </c>
      <c r="N448">
        <f t="shared" si="39"/>
        <v>216</v>
      </c>
      <c r="O448">
        <f t="shared" si="40"/>
        <v>112</v>
      </c>
      <c r="P448">
        <f t="shared" si="41"/>
        <v>104</v>
      </c>
      <c r="Q448" s="20">
        <f>Table1[[#This Row],[Profit ]]/Table1[[#This Row],[Total Revenue]]</f>
        <v>0.48148148148148145</v>
      </c>
    </row>
    <row r="449" spans="1:17" ht="15.75" thickBot="1" x14ac:dyDescent="0.3">
      <c r="A449" s="10" t="s">
        <v>98</v>
      </c>
      <c r="B449" s="16" t="str">
        <f t="shared" si="36"/>
        <v>2026</v>
      </c>
      <c r="C449" s="16" t="str">
        <f t="shared" si="37"/>
        <v>19</v>
      </c>
      <c r="D449" s="16" t="str">
        <f t="shared" si="38"/>
        <v>Apr</v>
      </c>
      <c r="E449" s="5" t="s">
        <v>80</v>
      </c>
      <c r="F449" s="5" t="s">
        <v>10</v>
      </c>
      <c r="G449" s="8" t="s">
        <v>43</v>
      </c>
      <c r="H449" s="5" t="s">
        <v>52</v>
      </c>
      <c r="I449" s="8" t="s">
        <v>25</v>
      </c>
      <c r="J449" s="9">
        <v>4</v>
      </c>
      <c r="K449" s="8" t="s">
        <v>19</v>
      </c>
      <c r="L449" t="s">
        <v>210</v>
      </c>
      <c r="M449" t="str">
        <f>VLOOKUP(E449,Price!$A$2:$C$9,3,)</f>
        <v>$39.00</v>
      </c>
      <c r="N449">
        <f t="shared" si="39"/>
        <v>304</v>
      </c>
      <c r="O449">
        <f t="shared" si="40"/>
        <v>156</v>
      </c>
      <c r="P449">
        <f t="shared" si="41"/>
        <v>148</v>
      </c>
      <c r="Q449" s="20">
        <f>Table1[[#This Row],[Profit ]]/Table1[[#This Row],[Total Revenue]]</f>
        <v>0.48684210526315791</v>
      </c>
    </row>
    <row r="450" spans="1:17" ht="15.75" thickBot="1" x14ac:dyDescent="0.3">
      <c r="A450" s="11">
        <v>46334</v>
      </c>
      <c r="B450" s="17" t="str">
        <f t="shared" ref="B450:B501" si="42">RIGHT(TRIM(A450), 4)</f>
        <v>6334</v>
      </c>
      <c r="C450" s="17" t="str">
        <f t="shared" ref="C450:C501" si="43">MID(TRIM(A450), 4, 2)</f>
        <v>34</v>
      </c>
      <c r="D450" s="17" t="str">
        <f t="shared" ref="D450:D501" si="44">TEXT(DATE(RIGHT(TRIM(A450), 4), LEFT(TRIM(A450), 2), MID(TRIM(A450), 4, 2)), "mmm")</f>
        <v>Nov</v>
      </c>
      <c r="E450" s="5" t="s">
        <v>118</v>
      </c>
      <c r="F450" s="5" t="s">
        <v>90</v>
      </c>
      <c r="G450" s="5" t="s">
        <v>17</v>
      </c>
      <c r="H450" s="5" t="s">
        <v>12</v>
      </c>
      <c r="I450" s="5" t="s">
        <v>13</v>
      </c>
      <c r="J450" s="6">
        <v>1</v>
      </c>
      <c r="K450" s="5" t="s">
        <v>42</v>
      </c>
      <c r="L450" t="s">
        <v>218</v>
      </c>
      <c r="M450" t="str">
        <f>VLOOKUP(E450,Price!$A$2:$C$9,3,)</f>
        <v>$67.00</v>
      </c>
      <c r="N450">
        <f t="shared" si="39"/>
        <v>119</v>
      </c>
      <c r="O450">
        <f t="shared" si="40"/>
        <v>67</v>
      </c>
      <c r="P450">
        <f t="shared" si="41"/>
        <v>52</v>
      </c>
      <c r="Q450" s="20">
        <f>Table1[[#This Row],[Profit ]]/Table1[[#This Row],[Total Revenue]]</f>
        <v>0.43697478991596639</v>
      </c>
    </row>
    <row r="451" spans="1:17" ht="15.75" thickBot="1" x14ac:dyDescent="0.3">
      <c r="A451" s="10">
        <v>46120</v>
      </c>
      <c r="B451" s="16" t="str">
        <f t="shared" si="42"/>
        <v>6120</v>
      </c>
      <c r="C451" s="16" t="str">
        <f t="shared" si="43"/>
        <v>20</v>
      </c>
      <c r="D451" s="16" t="str">
        <f t="shared" si="44"/>
        <v>Oct</v>
      </c>
      <c r="E451" s="5" t="s">
        <v>80</v>
      </c>
      <c r="F451" s="5" t="s">
        <v>10</v>
      </c>
      <c r="G451" s="8" t="s">
        <v>11</v>
      </c>
      <c r="H451" s="5" t="s">
        <v>63</v>
      </c>
      <c r="I451" s="8" t="s">
        <v>103</v>
      </c>
      <c r="J451" s="9">
        <v>5</v>
      </c>
      <c r="K451" s="8" t="s">
        <v>42</v>
      </c>
      <c r="L451" t="s">
        <v>210</v>
      </c>
      <c r="M451" t="str">
        <f>VLOOKUP(E451,Price!$A$2:$C$9,3,)</f>
        <v>$39.00</v>
      </c>
      <c r="N451">
        <f t="shared" ref="N451:N501" si="45">J451 * VALUE(SUBSTITUTE(L451,"$",""))</f>
        <v>380</v>
      </c>
      <c r="O451">
        <f t="shared" ref="O451:O501" si="46">J451*VALUE(SUBSTITUTE(M451,"$",""))</f>
        <v>195</v>
      </c>
      <c r="P451">
        <f t="shared" ref="P451:P501" si="47">N451-O451</f>
        <v>185</v>
      </c>
      <c r="Q451" s="20">
        <f>Table1[[#This Row],[Profit ]]/Table1[[#This Row],[Total Revenue]]</f>
        <v>0.48684210526315791</v>
      </c>
    </row>
    <row r="452" spans="1:17" ht="15.75" thickBot="1" x14ac:dyDescent="0.3">
      <c r="A452" s="11" t="s">
        <v>102</v>
      </c>
      <c r="B452" s="17" t="str">
        <f t="shared" si="42"/>
        <v>2026</v>
      </c>
      <c r="C452" s="17" t="str">
        <f t="shared" si="43"/>
        <v>27</v>
      </c>
      <c r="D452" s="17" t="str">
        <f t="shared" si="44"/>
        <v>Jun</v>
      </c>
      <c r="E452" s="5" t="s">
        <v>140</v>
      </c>
      <c r="F452" s="5" t="s">
        <v>10</v>
      </c>
      <c r="G452" s="5" t="s">
        <v>43</v>
      </c>
      <c r="H452" s="5" t="s">
        <v>63</v>
      </c>
      <c r="I452" s="5" t="s">
        <v>47</v>
      </c>
      <c r="J452" s="6">
        <v>5</v>
      </c>
      <c r="K452" s="5" t="s">
        <v>42</v>
      </c>
      <c r="L452" t="s">
        <v>216</v>
      </c>
      <c r="M452" t="str">
        <f>VLOOKUP(E452,Price!$A$2:$C$9,3,)</f>
        <v>$64.00</v>
      </c>
      <c r="N452">
        <f t="shared" si="45"/>
        <v>560</v>
      </c>
      <c r="O452">
        <f t="shared" si="46"/>
        <v>320</v>
      </c>
      <c r="P452">
        <f t="shared" si="47"/>
        <v>240</v>
      </c>
      <c r="Q452" s="20">
        <f>Table1[[#This Row],[Profit ]]/Table1[[#This Row],[Total Revenue]]</f>
        <v>0.42857142857142855</v>
      </c>
    </row>
    <row r="453" spans="1:17" ht="15.75" thickBot="1" x14ac:dyDescent="0.3">
      <c r="A453" s="10">
        <v>46235</v>
      </c>
      <c r="B453" s="16" t="str">
        <f t="shared" si="42"/>
        <v>6235</v>
      </c>
      <c r="C453" s="16" t="str">
        <f t="shared" si="43"/>
        <v>35</v>
      </c>
      <c r="D453" s="16" t="str">
        <f t="shared" si="44"/>
        <v>Nov</v>
      </c>
      <c r="E453" s="5" t="s">
        <v>140</v>
      </c>
      <c r="F453" s="5" t="s">
        <v>10</v>
      </c>
      <c r="G453" s="8" t="s">
        <v>36</v>
      </c>
      <c r="H453" s="5" t="s">
        <v>67</v>
      </c>
      <c r="I453" s="8" t="s">
        <v>38</v>
      </c>
      <c r="J453" s="9">
        <v>3</v>
      </c>
      <c r="K453" s="8" t="s">
        <v>42</v>
      </c>
      <c r="L453" t="s">
        <v>216</v>
      </c>
      <c r="M453" t="str">
        <f>VLOOKUP(E453,Price!$A$2:$C$9,3,)</f>
        <v>$64.00</v>
      </c>
      <c r="N453">
        <f t="shared" si="45"/>
        <v>336</v>
      </c>
      <c r="O453">
        <f t="shared" si="46"/>
        <v>192</v>
      </c>
      <c r="P453">
        <f t="shared" si="47"/>
        <v>144</v>
      </c>
      <c r="Q453" s="20">
        <f>Table1[[#This Row],[Profit ]]/Table1[[#This Row],[Total Revenue]]</f>
        <v>0.42857142857142855</v>
      </c>
    </row>
    <row r="454" spans="1:17" ht="15.75" thickBot="1" x14ac:dyDescent="0.3">
      <c r="A454" s="11" t="s">
        <v>60</v>
      </c>
      <c r="B454" s="17" t="str">
        <f t="shared" si="42"/>
        <v>2026</v>
      </c>
      <c r="C454" s="17" t="str">
        <f t="shared" si="43"/>
        <v>23</v>
      </c>
      <c r="D454" s="17" t="str">
        <f t="shared" si="44"/>
        <v>Jul</v>
      </c>
      <c r="E454" s="5" t="s">
        <v>140</v>
      </c>
      <c r="F454" s="5" t="s">
        <v>10</v>
      </c>
      <c r="G454" s="5" t="s">
        <v>36</v>
      </c>
      <c r="H454" s="5" t="s">
        <v>67</v>
      </c>
      <c r="I454" s="5" t="s">
        <v>56</v>
      </c>
      <c r="J454" s="6">
        <v>11</v>
      </c>
      <c r="K454" s="5" t="s">
        <v>14</v>
      </c>
      <c r="L454" t="s">
        <v>216</v>
      </c>
      <c r="M454" t="str">
        <f>VLOOKUP(E454,Price!$A$2:$C$9,3,)</f>
        <v>$64.00</v>
      </c>
      <c r="N454">
        <f t="shared" si="45"/>
        <v>1232</v>
      </c>
      <c r="O454">
        <f t="shared" si="46"/>
        <v>704</v>
      </c>
      <c r="P454">
        <f t="shared" si="47"/>
        <v>528</v>
      </c>
      <c r="Q454" s="20">
        <f>Table1[[#This Row],[Profit ]]/Table1[[#This Row],[Total Revenue]]</f>
        <v>0.42857142857142855</v>
      </c>
    </row>
    <row r="455" spans="1:17" ht="15.75" thickBot="1" x14ac:dyDescent="0.3">
      <c r="A455" s="10">
        <v>46030</v>
      </c>
      <c r="B455" s="16" t="str">
        <f t="shared" si="42"/>
        <v>6030</v>
      </c>
      <c r="C455" s="16" t="str">
        <f t="shared" si="43"/>
        <v>30</v>
      </c>
      <c r="D455" s="16" t="str">
        <f t="shared" si="44"/>
        <v>Oct</v>
      </c>
      <c r="E455" s="5" t="s">
        <v>80</v>
      </c>
      <c r="F455" s="5" t="s">
        <v>62</v>
      </c>
      <c r="G455" s="8" t="s">
        <v>17</v>
      </c>
      <c r="H455" s="5" t="s">
        <v>52</v>
      </c>
      <c r="I455" s="8" t="s">
        <v>103</v>
      </c>
      <c r="J455" s="9">
        <v>9</v>
      </c>
      <c r="K455" s="8" t="s">
        <v>50</v>
      </c>
      <c r="L455" t="s">
        <v>210</v>
      </c>
      <c r="M455" t="str">
        <f>VLOOKUP(E455,Price!$A$2:$C$9,3,)</f>
        <v>$39.00</v>
      </c>
      <c r="N455">
        <f t="shared" si="45"/>
        <v>684</v>
      </c>
      <c r="O455">
        <f t="shared" si="46"/>
        <v>351</v>
      </c>
      <c r="P455">
        <f t="shared" si="47"/>
        <v>333</v>
      </c>
      <c r="Q455" s="20">
        <f>Table1[[#This Row],[Profit ]]/Table1[[#This Row],[Total Revenue]]</f>
        <v>0.48684210526315791</v>
      </c>
    </row>
    <row r="456" spans="1:17" ht="15.75" thickBot="1" x14ac:dyDescent="0.3">
      <c r="A456" s="11" t="s">
        <v>125</v>
      </c>
      <c r="B456" s="17" t="str">
        <f t="shared" si="42"/>
        <v>2026</v>
      </c>
      <c r="C456" s="17" t="str">
        <f t="shared" si="43"/>
        <v>20</v>
      </c>
      <c r="D456" s="17" t="str">
        <f t="shared" si="44"/>
        <v>Jul</v>
      </c>
      <c r="E456" s="5" t="s">
        <v>72</v>
      </c>
      <c r="F456" s="5" t="s">
        <v>10</v>
      </c>
      <c r="G456" s="5" t="s">
        <v>36</v>
      </c>
      <c r="H456" s="5" t="s">
        <v>63</v>
      </c>
      <c r="I456" s="5" t="s">
        <v>41</v>
      </c>
      <c r="J456" s="6">
        <v>15</v>
      </c>
      <c r="K456" s="5" t="s">
        <v>14</v>
      </c>
      <c r="L456" t="s">
        <v>214</v>
      </c>
      <c r="M456" t="str">
        <f>VLOOKUP(E456,Price!$A$2:$C$9,3,)</f>
        <v>$58.00</v>
      </c>
      <c r="N456">
        <f t="shared" si="45"/>
        <v>1575</v>
      </c>
      <c r="O456">
        <f t="shared" si="46"/>
        <v>870</v>
      </c>
      <c r="P456">
        <f t="shared" si="47"/>
        <v>705</v>
      </c>
      <c r="Q456" s="20">
        <f>Table1[[#This Row],[Profit ]]/Table1[[#This Row],[Total Revenue]]</f>
        <v>0.44761904761904764</v>
      </c>
    </row>
    <row r="457" spans="1:17" ht="15.75" thickBot="1" x14ac:dyDescent="0.3">
      <c r="A457" s="10" t="s">
        <v>134</v>
      </c>
      <c r="B457" s="16" t="str">
        <f t="shared" si="42"/>
        <v>2026</v>
      </c>
      <c r="C457" s="16" t="str">
        <f t="shared" si="43"/>
        <v>27</v>
      </c>
      <c r="D457" s="16" t="str">
        <f t="shared" si="44"/>
        <v>Jan</v>
      </c>
      <c r="E457" s="5" t="s">
        <v>74</v>
      </c>
      <c r="F457" s="5" t="s">
        <v>62</v>
      </c>
      <c r="G457" s="8" t="s">
        <v>36</v>
      </c>
      <c r="H457" s="5" t="s">
        <v>63</v>
      </c>
      <c r="I457" s="8" t="s">
        <v>33</v>
      </c>
      <c r="J457" s="9">
        <v>10</v>
      </c>
      <c r="K457" s="8" t="s">
        <v>42</v>
      </c>
      <c r="L457" t="s">
        <v>204</v>
      </c>
      <c r="M457" t="str">
        <f>VLOOKUP(E457,Price!$A$2:$C$9,3,)</f>
        <v>$47.00</v>
      </c>
      <c r="N457">
        <f t="shared" si="45"/>
        <v>890</v>
      </c>
      <c r="O457">
        <f t="shared" si="46"/>
        <v>470</v>
      </c>
      <c r="P457">
        <f t="shared" si="47"/>
        <v>420</v>
      </c>
      <c r="Q457" s="20">
        <f>Table1[[#This Row],[Profit ]]/Table1[[#This Row],[Total Revenue]]</f>
        <v>0.47191011235955055</v>
      </c>
    </row>
    <row r="458" spans="1:17" ht="15.75" thickBot="1" x14ac:dyDescent="0.3">
      <c r="A458" s="11">
        <v>46056</v>
      </c>
      <c r="B458" s="17" t="str">
        <f t="shared" si="42"/>
        <v>6056</v>
      </c>
      <c r="C458" s="17" t="str">
        <f t="shared" si="43"/>
        <v>56</v>
      </c>
      <c r="D458" s="17" t="str">
        <f t="shared" si="44"/>
        <v>Nov</v>
      </c>
      <c r="E458" s="5" t="s">
        <v>118</v>
      </c>
      <c r="F458" s="5" t="s">
        <v>10</v>
      </c>
      <c r="G458" s="5" t="s">
        <v>43</v>
      </c>
      <c r="H458" s="5" t="s">
        <v>63</v>
      </c>
      <c r="I458" s="5" t="s">
        <v>49</v>
      </c>
      <c r="J458" s="6">
        <v>5</v>
      </c>
      <c r="K458" s="5" t="s">
        <v>42</v>
      </c>
      <c r="L458" t="s">
        <v>218</v>
      </c>
      <c r="M458" t="str">
        <f>VLOOKUP(E458,Price!$A$2:$C$9,3,)</f>
        <v>$67.00</v>
      </c>
      <c r="N458">
        <f t="shared" si="45"/>
        <v>595</v>
      </c>
      <c r="O458">
        <f t="shared" si="46"/>
        <v>335</v>
      </c>
      <c r="P458">
        <f t="shared" si="47"/>
        <v>260</v>
      </c>
      <c r="Q458" s="20">
        <f>Table1[[#This Row],[Profit ]]/Table1[[#This Row],[Total Revenue]]</f>
        <v>0.43697478991596639</v>
      </c>
    </row>
    <row r="459" spans="1:17" ht="15.75" thickBot="1" x14ac:dyDescent="0.3">
      <c r="A459" s="10" t="s">
        <v>194</v>
      </c>
      <c r="B459" s="16" t="str">
        <f t="shared" si="42"/>
        <v>2026</v>
      </c>
      <c r="C459" s="16" t="str">
        <f t="shared" si="43"/>
        <v>18</v>
      </c>
      <c r="D459" s="16" t="str">
        <f t="shared" si="44"/>
        <v>May</v>
      </c>
      <c r="E459" s="5" t="s">
        <v>118</v>
      </c>
      <c r="F459" s="5" t="s">
        <v>10</v>
      </c>
      <c r="G459" s="8" t="s">
        <v>23</v>
      </c>
      <c r="H459" s="5" t="s">
        <v>52</v>
      </c>
      <c r="I459" s="8" t="s">
        <v>47</v>
      </c>
      <c r="J459" s="9">
        <v>9</v>
      </c>
      <c r="K459" s="8" t="s">
        <v>42</v>
      </c>
      <c r="L459" t="s">
        <v>218</v>
      </c>
      <c r="M459" t="str">
        <f>VLOOKUP(E459,Price!$A$2:$C$9,3,)</f>
        <v>$67.00</v>
      </c>
      <c r="N459">
        <f t="shared" si="45"/>
        <v>1071</v>
      </c>
      <c r="O459">
        <f t="shared" si="46"/>
        <v>603</v>
      </c>
      <c r="P459">
        <f t="shared" si="47"/>
        <v>468</v>
      </c>
      <c r="Q459" s="20">
        <f>Table1[[#This Row],[Profit ]]/Table1[[#This Row],[Total Revenue]]</f>
        <v>0.43697478991596639</v>
      </c>
    </row>
    <row r="460" spans="1:17" ht="15.75" thickBot="1" x14ac:dyDescent="0.3">
      <c r="A460" s="11" t="s">
        <v>95</v>
      </c>
      <c r="B460" s="17" t="str">
        <f t="shared" si="42"/>
        <v>2026</v>
      </c>
      <c r="C460" s="17" t="str">
        <f t="shared" si="43"/>
        <v>17</v>
      </c>
      <c r="D460" s="17" t="str">
        <f t="shared" si="44"/>
        <v>Jul</v>
      </c>
      <c r="E460" s="5" t="s">
        <v>74</v>
      </c>
      <c r="F460" s="5" t="s">
        <v>10</v>
      </c>
      <c r="G460" s="5" t="s">
        <v>17</v>
      </c>
      <c r="H460" s="5" t="s">
        <v>52</v>
      </c>
      <c r="I460" s="5" t="s">
        <v>86</v>
      </c>
      <c r="J460" s="6">
        <v>1</v>
      </c>
      <c r="K460" s="5" t="s">
        <v>42</v>
      </c>
      <c r="L460" t="s">
        <v>204</v>
      </c>
      <c r="M460" t="str">
        <f>VLOOKUP(E460,Price!$A$2:$C$9,3,)</f>
        <v>$47.00</v>
      </c>
      <c r="N460">
        <f t="shared" si="45"/>
        <v>89</v>
      </c>
      <c r="O460">
        <f t="shared" si="46"/>
        <v>47</v>
      </c>
      <c r="P460">
        <f t="shared" si="47"/>
        <v>42</v>
      </c>
      <c r="Q460" s="20">
        <f>Table1[[#This Row],[Profit ]]/Table1[[#This Row],[Total Revenue]]</f>
        <v>0.47191011235955055</v>
      </c>
    </row>
    <row r="461" spans="1:17" ht="15.75" thickBot="1" x14ac:dyDescent="0.3">
      <c r="A461" s="10" t="s">
        <v>81</v>
      </c>
      <c r="B461" s="16" t="str">
        <f t="shared" si="42"/>
        <v>2026</v>
      </c>
      <c r="C461" s="16" t="str">
        <f t="shared" si="43"/>
        <v>13</v>
      </c>
      <c r="D461" s="16" t="str">
        <f t="shared" si="44"/>
        <v>Mar</v>
      </c>
      <c r="E461" s="5" t="s">
        <v>80</v>
      </c>
      <c r="F461" s="5" t="s">
        <v>62</v>
      </c>
      <c r="G461" s="8" t="s">
        <v>36</v>
      </c>
      <c r="H461" s="5" t="s">
        <v>52</v>
      </c>
      <c r="I461" s="8" t="s">
        <v>28</v>
      </c>
      <c r="J461" s="9">
        <v>8</v>
      </c>
      <c r="K461" s="8" t="s">
        <v>19</v>
      </c>
      <c r="L461" t="s">
        <v>210</v>
      </c>
      <c r="M461" t="str">
        <f>VLOOKUP(E461,Price!$A$2:$C$9,3,)</f>
        <v>$39.00</v>
      </c>
      <c r="N461">
        <f t="shared" si="45"/>
        <v>608</v>
      </c>
      <c r="O461">
        <f t="shared" si="46"/>
        <v>312</v>
      </c>
      <c r="P461">
        <f t="shared" si="47"/>
        <v>296</v>
      </c>
      <c r="Q461" s="20">
        <f>Table1[[#This Row],[Profit ]]/Table1[[#This Row],[Total Revenue]]</f>
        <v>0.48684210526315791</v>
      </c>
    </row>
    <row r="462" spans="1:17" ht="15.75" thickBot="1" x14ac:dyDescent="0.3">
      <c r="A462" s="11">
        <v>46118</v>
      </c>
      <c r="B462" s="17" t="str">
        <f t="shared" si="42"/>
        <v>6118</v>
      </c>
      <c r="C462" s="17" t="str">
        <f t="shared" si="43"/>
        <v>18</v>
      </c>
      <c r="D462" s="17" t="str">
        <f t="shared" si="44"/>
        <v>Oct</v>
      </c>
      <c r="E462" s="5" t="s">
        <v>72</v>
      </c>
      <c r="F462" s="5" t="s">
        <v>90</v>
      </c>
      <c r="G462" s="5" t="s">
        <v>23</v>
      </c>
      <c r="H462" s="5" t="s">
        <v>52</v>
      </c>
      <c r="I462" s="5" t="s">
        <v>53</v>
      </c>
      <c r="J462" s="6">
        <v>8</v>
      </c>
      <c r="K462" s="5" t="s">
        <v>50</v>
      </c>
      <c r="L462" t="s">
        <v>214</v>
      </c>
      <c r="M462" t="str">
        <f>VLOOKUP(E462,Price!$A$2:$C$9,3,)</f>
        <v>$58.00</v>
      </c>
      <c r="N462">
        <f t="shared" si="45"/>
        <v>840</v>
      </c>
      <c r="O462">
        <f t="shared" si="46"/>
        <v>464</v>
      </c>
      <c r="P462">
        <f t="shared" si="47"/>
        <v>376</v>
      </c>
      <c r="Q462" s="20">
        <f>Table1[[#This Row],[Profit ]]/Table1[[#This Row],[Total Revenue]]</f>
        <v>0.44761904761904764</v>
      </c>
    </row>
    <row r="463" spans="1:17" ht="15.75" thickBot="1" x14ac:dyDescent="0.3">
      <c r="A463" s="10" t="s">
        <v>186</v>
      </c>
      <c r="B463" s="16" t="str">
        <f t="shared" si="42"/>
        <v>2026</v>
      </c>
      <c r="C463" s="16" t="str">
        <f t="shared" si="43"/>
        <v>28</v>
      </c>
      <c r="D463" s="16" t="str">
        <f t="shared" si="44"/>
        <v>Jul</v>
      </c>
      <c r="E463" s="5" t="s">
        <v>21</v>
      </c>
      <c r="F463" s="5" t="s">
        <v>90</v>
      </c>
      <c r="G463" s="8" t="s">
        <v>11</v>
      </c>
      <c r="H463" s="5" t="s">
        <v>52</v>
      </c>
      <c r="I463" s="8" t="s">
        <v>49</v>
      </c>
      <c r="J463" s="9">
        <v>9</v>
      </c>
      <c r="K463" s="8" t="s">
        <v>19</v>
      </c>
      <c r="L463" t="s">
        <v>208</v>
      </c>
      <c r="M463" t="str">
        <f>VLOOKUP(E463,Price!$A$2:$C$9,3,)</f>
        <v>$14.00</v>
      </c>
      <c r="N463">
        <f t="shared" si="45"/>
        <v>288</v>
      </c>
      <c r="O463">
        <f t="shared" si="46"/>
        <v>126</v>
      </c>
      <c r="P463">
        <f t="shared" si="47"/>
        <v>162</v>
      </c>
      <c r="Q463" s="20">
        <f>Table1[[#This Row],[Profit ]]/Table1[[#This Row],[Total Revenue]]</f>
        <v>0.5625</v>
      </c>
    </row>
    <row r="464" spans="1:17" ht="15.75" thickBot="1" x14ac:dyDescent="0.3">
      <c r="A464" s="11" t="s">
        <v>123</v>
      </c>
      <c r="B464" s="17" t="str">
        <f t="shared" si="42"/>
        <v>2026</v>
      </c>
      <c r="C464" s="17" t="str">
        <f t="shared" si="43"/>
        <v>30</v>
      </c>
      <c r="D464" s="17" t="str">
        <f t="shared" si="44"/>
        <v>Jun</v>
      </c>
      <c r="E464" s="5" t="s">
        <v>140</v>
      </c>
      <c r="F464" s="5" t="s">
        <v>62</v>
      </c>
      <c r="G464" s="5" t="s">
        <v>17</v>
      </c>
      <c r="H464" s="5" t="s">
        <v>12</v>
      </c>
      <c r="I464" s="5" t="s">
        <v>64</v>
      </c>
      <c r="J464" s="6">
        <v>10</v>
      </c>
      <c r="K464" s="5" t="s">
        <v>14</v>
      </c>
      <c r="L464" t="s">
        <v>216</v>
      </c>
      <c r="M464" t="str">
        <f>VLOOKUP(E464,Price!$A$2:$C$9,3,)</f>
        <v>$64.00</v>
      </c>
      <c r="N464">
        <f t="shared" si="45"/>
        <v>1120</v>
      </c>
      <c r="O464">
        <f t="shared" si="46"/>
        <v>640</v>
      </c>
      <c r="P464">
        <f t="shared" si="47"/>
        <v>480</v>
      </c>
      <c r="Q464" s="20">
        <f>Table1[[#This Row],[Profit ]]/Table1[[#This Row],[Total Revenue]]</f>
        <v>0.42857142857142855</v>
      </c>
    </row>
    <row r="465" spans="1:17" ht="15.75" thickBot="1" x14ac:dyDescent="0.3">
      <c r="A465" s="10">
        <v>46120</v>
      </c>
      <c r="B465" s="16" t="str">
        <f t="shared" si="42"/>
        <v>6120</v>
      </c>
      <c r="C465" s="16" t="str">
        <f t="shared" si="43"/>
        <v>20</v>
      </c>
      <c r="D465" s="16" t="str">
        <f t="shared" si="44"/>
        <v>Oct</v>
      </c>
      <c r="E465" s="5" t="s">
        <v>34</v>
      </c>
      <c r="F465" s="5" t="s">
        <v>90</v>
      </c>
      <c r="G465" s="8" t="s">
        <v>23</v>
      </c>
      <c r="H465" s="5" t="s">
        <v>52</v>
      </c>
      <c r="I465" s="8" t="s">
        <v>38</v>
      </c>
      <c r="J465" s="9">
        <v>6</v>
      </c>
      <c r="K465" s="8" t="s">
        <v>19</v>
      </c>
      <c r="L465" t="s">
        <v>212</v>
      </c>
      <c r="M465" t="str">
        <f>VLOOKUP(E465,Price!$A$2:$C$9,3,)</f>
        <v>$72.00</v>
      </c>
      <c r="N465">
        <f t="shared" si="45"/>
        <v>768</v>
      </c>
      <c r="O465">
        <f t="shared" si="46"/>
        <v>432</v>
      </c>
      <c r="P465">
        <f t="shared" si="47"/>
        <v>336</v>
      </c>
      <c r="Q465" s="20">
        <f>Table1[[#This Row],[Profit ]]/Table1[[#This Row],[Total Revenue]]</f>
        <v>0.4375</v>
      </c>
    </row>
    <row r="466" spans="1:17" ht="15.75" thickBot="1" x14ac:dyDescent="0.3">
      <c r="A466" s="11">
        <v>46118</v>
      </c>
      <c r="B466" s="17" t="str">
        <f t="shared" si="42"/>
        <v>6118</v>
      </c>
      <c r="C466" s="17" t="str">
        <f t="shared" si="43"/>
        <v>18</v>
      </c>
      <c r="D466" s="17" t="str">
        <f t="shared" si="44"/>
        <v>Oct</v>
      </c>
      <c r="E466" s="5" t="s">
        <v>34</v>
      </c>
      <c r="F466" s="5" t="s">
        <v>10</v>
      </c>
      <c r="G466" s="5" t="s">
        <v>23</v>
      </c>
      <c r="H466" s="5" t="s">
        <v>12</v>
      </c>
      <c r="I466" s="5" t="s">
        <v>38</v>
      </c>
      <c r="J466" s="6">
        <v>4</v>
      </c>
      <c r="K466" s="5" t="s">
        <v>42</v>
      </c>
      <c r="L466" t="s">
        <v>212</v>
      </c>
      <c r="M466" t="str">
        <f>VLOOKUP(E466,Price!$A$2:$C$9,3,)</f>
        <v>$72.00</v>
      </c>
      <c r="N466">
        <f t="shared" si="45"/>
        <v>512</v>
      </c>
      <c r="O466">
        <f t="shared" si="46"/>
        <v>288</v>
      </c>
      <c r="P466">
        <f t="shared" si="47"/>
        <v>224</v>
      </c>
      <c r="Q466" s="20">
        <f>Table1[[#This Row],[Profit ]]/Table1[[#This Row],[Total Revenue]]</f>
        <v>0.4375</v>
      </c>
    </row>
    <row r="467" spans="1:17" ht="15.75" thickBot="1" x14ac:dyDescent="0.3">
      <c r="A467" s="10" t="s">
        <v>122</v>
      </c>
      <c r="B467" s="16" t="str">
        <f t="shared" si="42"/>
        <v>2026</v>
      </c>
      <c r="C467" s="16" t="str">
        <f t="shared" si="43"/>
        <v>18</v>
      </c>
      <c r="D467" s="16" t="str">
        <f t="shared" si="44"/>
        <v>Mar</v>
      </c>
      <c r="E467" s="5" t="s">
        <v>74</v>
      </c>
      <c r="F467" s="5" t="s">
        <v>10</v>
      </c>
      <c r="G467" s="8" t="s">
        <v>17</v>
      </c>
      <c r="H467" s="5" t="s">
        <v>138</v>
      </c>
      <c r="I467" s="8" t="s">
        <v>25</v>
      </c>
      <c r="J467" s="9">
        <v>4</v>
      </c>
      <c r="K467" s="8" t="s">
        <v>14</v>
      </c>
      <c r="L467" t="s">
        <v>204</v>
      </c>
      <c r="M467" t="str">
        <f>VLOOKUP(E467,Price!$A$2:$C$9,3,)</f>
        <v>$47.00</v>
      </c>
      <c r="N467">
        <f t="shared" si="45"/>
        <v>356</v>
      </c>
      <c r="O467">
        <f t="shared" si="46"/>
        <v>188</v>
      </c>
      <c r="P467">
        <f t="shared" si="47"/>
        <v>168</v>
      </c>
      <c r="Q467" s="20">
        <f>Table1[[#This Row],[Profit ]]/Table1[[#This Row],[Total Revenue]]</f>
        <v>0.47191011235955055</v>
      </c>
    </row>
    <row r="468" spans="1:17" ht="15.75" thickBot="1" x14ac:dyDescent="0.3">
      <c r="A468" s="11" t="s">
        <v>79</v>
      </c>
      <c r="B468" s="17" t="str">
        <f t="shared" si="42"/>
        <v>2026</v>
      </c>
      <c r="C468" s="17" t="str">
        <f t="shared" si="43"/>
        <v>13</v>
      </c>
      <c r="D468" s="17" t="str">
        <f t="shared" si="44"/>
        <v>Jan</v>
      </c>
      <c r="E468" s="5" t="s">
        <v>80</v>
      </c>
      <c r="F468" s="5" t="s">
        <v>10</v>
      </c>
      <c r="G468" s="5" t="s">
        <v>11</v>
      </c>
      <c r="H468" s="5" t="s">
        <v>67</v>
      </c>
      <c r="I468" s="5" t="s">
        <v>41</v>
      </c>
      <c r="J468" s="6">
        <v>14</v>
      </c>
      <c r="K468" s="5" t="s">
        <v>14</v>
      </c>
      <c r="L468" t="s">
        <v>210</v>
      </c>
      <c r="M468" t="str">
        <f>VLOOKUP(E468,Price!$A$2:$C$9,3,)</f>
        <v>$39.00</v>
      </c>
      <c r="N468">
        <f t="shared" si="45"/>
        <v>1064</v>
      </c>
      <c r="O468">
        <f t="shared" si="46"/>
        <v>546</v>
      </c>
      <c r="P468">
        <f t="shared" si="47"/>
        <v>518</v>
      </c>
      <c r="Q468" s="20">
        <f>Table1[[#This Row],[Profit ]]/Table1[[#This Row],[Total Revenue]]</f>
        <v>0.48684210526315791</v>
      </c>
    </row>
    <row r="469" spans="1:17" ht="15.75" thickBot="1" x14ac:dyDescent="0.3">
      <c r="A469" s="10">
        <v>46059</v>
      </c>
      <c r="B469" s="16" t="str">
        <f t="shared" si="42"/>
        <v>6059</v>
      </c>
      <c r="C469" s="16" t="str">
        <f t="shared" si="43"/>
        <v>59</v>
      </c>
      <c r="D469" s="16" t="str">
        <f t="shared" si="44"/>
        <v>Nov</v>
      </c>
      <c r="E469" s="5" t="s">
        <v>140</v>
      </c>
      <c r="F469" s="5" t="s">
        <v>10</v>
      </c>
      <c r="G469" s="8" t="s">
        <v>23</v>
      </c>
      <c r="H469" s="5" t="s">
        <v>67</v>
      </c>
      <c r="I469" s="8" t="s">
        <v>41</v>
      </c>
      <c r="J469" s="9">
        <v>8</v>
      </c>
      <c r="K469" s="8" t="s">
        <v>19</v>
      </c>
      <c r="L469" t="s">
        <v>216</v>
      </c>
      <c r="M469" t="str">
        <f>VLOOKUP(E469,Price!$A$2:$C$9,3,)</f>
        <v>$64.00</v>
      </c>
      <c r="N469">
        <f t="shared" si="45"/>
        <v>896</v>
      </c>
      <c r="O469">
        <f t="shared" si="46"/>
        <v>512</v>
      </c>
      <c r="P469">
        <f t="shared" si="47"/>
        <v>384</v>
      </c>
      <c r="Q469" s="20">
        <f>Table1[[#This Row],[Profit ]]/Table1[[#This Row],[Total Revenue]]</f>
        <v>0.42857142857142855</v>
      </c>
    </row>
    <row r="470" spans="1:17" ht="15.75" thickBot="1" x14ac:dyDescent="0.3">
      <c r="A470" s="11" t="s">
        <v>124</v>
      </c>
      <c r="B470" s="17" t="str">
        <f t="shared" si="42"/>
        <v>2026</v>
      </c>
      <c r="C470" s="17" t="str">
        <f t="shared" si="43"/>
        <v>22</v>
      </c>
      <c r="D470" s="17" t="str">
        <f t="shared" si="44"/>
        <v>Jan</v>
      </c>
      <c r="E470" s="5" t="s">
        <v>80</v>
      </c>
      <c r="F470" s="5" t="s">
        <v>10</v>
      </c>
      <c r="G470" s="5" t="s">
        <v>17</v>
      </c>
      <c r="H470" s="5" t="s">
        <v>52</v>
      </c>
      <c r="I470" s="5" t="s">
        <v>41</v>
      </c>
      <c r="J470" s="6">
        <v>3</v>
      </c>
      <c r="K470" s="5" t="s">
        <v>19</v>
      </c>
      <c r="L470" t="s">
        <v>210</v>
      </c>
      <c r="M470" t="str">
        <f>VLOOKUP(E470,Price!$A$2:$C$9,3,)</f>
        <v>$39.00</v>
      </c>
      <c r="N470">
        <f t="shared" si="45"/>
        <v>228</v>
      </c>
      <c r="O470">
        <f t="shared" si="46"/>
        <v>117</v>
      </c>
      <c r="P470">
        <f t="shared" si="47"/>
        <v>111</v>
      </c>
      <c r="Q470" s="20">
        <f>Table1[[#This Row],[Profit ]]/Table1[[#This Row],[Total Revenue]]</f>
        <v>0.48684210526315791</v>
      </c>
    </row>
    <row r="471" spans="1:17" ht="15.75" thickBot="1" x14ac:dyDescent="0.3">
      <c r="A471" s="10" t="s">
        <v>82</v>
      </c>
      <c r="B471" s="16" t="str">
        <f t="shared" si="42"/>
        <v>2026</v>
      </c>
      <c r="C471" s="16" t="str">
        <f t="shared" si="43"/>
        <v>30</v>
      </c>
      <c r="D471" s="16" t="str">
        <f t="shared" si="44"/>
        <v>Apr</v>
      </c>
      <c r="E471" s="5" t="s">
        <v>34</v>
      </c>
      <c r="F471" s="5" t="s">
        <v>62</v>
      </c>
      <c r="G471" s="8" t="s">
        <v>11</v>
      </c>
      <c r="H471" s="5" t="s">
        <v>52</v>
      </c>
      <c r="I471" s="8" t="s">
        <v>49</v>
      </c>
      <c r="J471" s="9">
        <v>10</v>
      </c>
      <c r="K471" s="8" t="s">
        <v>14</v>
      </c>
      <c r="L471" t="s">
        <v>212</v>
      </c>
      <c r="M471" t="str">
        <f>VLOOKUP(E471,Price!$A$2:$C$9,3,)</f>
        <v>$72.00</v>
      </c>
      <c r="N471">
        <f t="shared" si="45"/>
        <v>1280</v>
      </c>
      <c r="O471">
        <f t="shared" si="46"/>
        <v>720</v>
      </c>
      <c r="P471">
        <f t="shared" si="47"/>
        <v>560</v>
      </c>
      <c r="Q471" s="20">
        <f>Table1[[#This Row],[Profit ]]/Table1[[#This Row],[Total Revenue]]</f>
        <v>0.4375</v>
      </c>
    </row>
    <row r="472" spans="1:17" ht="15.75" thickBot="1" x14ac:dyDescent="0.3">
      <c r="A472" s="11">
        <v>46268</v>
      </c>
      <c r="B472" s="17" t="str">
        <f t="shared" si="42"/>
        <v>6268</v>
      </c>
      <c r="C472" s="17" t="str">
        <f t="shared" si="43"/>
        <v>68</v>
      </c>
      <c r="D472" s="17" t="str">
        <f t="shared" si="44"/>
        <v>Dec</v>
      </c>
      <c r="E472" s="5" t="s">
        <v>97</v>
      </c>
      <c r="F472" s="5" t="s">
        <v>35</v>
      </c>
      <c r="G472" s="5" t="s">
        <v>17</v>
      </c>
      <c r="H472" s="5" t="s">
        <v>52</v>
      </c>
      <c r="I472" s="5" t="s">
        <v>38</v>
      </c>
      <c r="J472" s="6">
        <v>7</v>
      </c>
      <c r="K472" s="5" t="s">
        <v>19</v>
      </c>
      <c r="L472" t="s">
        <v>206</v>
      </c>
      <c r="M472" t="str">
        <f>VLOOKUP(E472,Price!$A$2:$C$9,3,)</f>
        <v>$28.00</v>
      </c>
      <c r="N472">
        <f t="shared" si="45"/>
        <v>378</v>
      </c>
      <c r="O472">
        <f t="shared" si="46"/>
        <v>196</v>
      </c>
      <c r="P472">
        <f t="shared" si="47"/>
        <v>182</v>
      </c>
      <c r="Q472" s="20">
        <f>Table1[[#This Row],[Profit ]]/Table1[[#This Row],[Total Revenue]]</f>
        <v>0.48148148148148145</v>
      </c>
    </row>
    <row r="473" spans="1:17" ht="15.75" thickBot="1" x14ac:dyDescent="0.3">
      <c r="A473" s="10">
        <v>46241</v>
      </c>
      <c r="B473" s="16" t="str">
        <f t="shared" si="42"/>
        <v>6241</v>
      </c>
      <c r="C473" s="16" t="str">
        <f t="shared" si="43"/>
        <v>41</v>
      </c>
      <c r="D473" s="16" t="str">
        <f t="shared" si="44"/>
        <v>Nov</v>
      </c>
      <c r="E473" s="5" t="s">
        <v>118</v>
      </c>
      <c r="F473" s="5" t="s">
        <v>10</v>
      </c>
      <c r="G473" s="8" t="s">
        <v>17</v>
      </c>
      <c r="H473" s="5" t="s">
        <v>12</v>
      </c>
      <c r="I473" s="8" t="s">
        <v>41</v>
      </c>
      <c r="J473" s="9">
        <v>6</v>
      </c>
      <c r="K473" s="8" t="s">
        <v>50</v>
      </c>
      <c r="L473" t="s">
        <v>218</v>
      </c>
      <c r="M473" t="str">
        <f>VLOOKUP(E473,Price!$A$2:$C$9,3,)</f>
        <v>$67.00</v>
      </c>
      <c r="N473">
        <f t="shared" si="45"/>
        <v>714</v>
      </c>
      <c r="O473">
        <f t="shared" si="46"/>
        <v>402</v>
      </c>
      <c r="P473">
        <f t="shared" si="47"/>
        <v>312</v>
      </c>
      <c r="Q473" s="20">
        <f>Table1[[#This Row],[Profit ]]/Table1[[#This Row],[Total Revenue]]</f>
        <v>0.43697478991596639</v>
      </c>
    </row>
    <row r="474" spans="1:17" ht="15.75" thickBot="1" x14ac:dyDescent="0.3">
      <c r="A474" s="11">
        <v>46205</v>
      </c>
      <c r="B474" s="17" t="str">
        <f t="shared" si="42"/>
        <v>6205</v>
      </c>
      <c r="C474" s="17" t="str">
        <f t="shared" si="43"/>
        <v>05</v>
      </c>
      <c r="D474" s="17" t="str">
        <f t="shared" si="44"/>
        <v>Oct</v>
      </c>
      <c r="E474" s="5" t="s">
        <v>21</v>
      </c>
      <c r="F474" s="5" t="s">
        <v>10</v>
      </c>
      <c r="G474" s="5" t="s">
        <v>17</v>
      </c>
      <c r="H474" s="5" t="s">
        <v>12</v>
      </c>
      <c r="I474" s="5" t="s">
        <v>53</v>
      </c>
      <c r="J474" s="6">
        <v>13</v>
      </c>
      <c r="K474" s="5" t="s">
        <v>50</v>
      </c>
      <c r="L474" t="s">
        <v>208</v>
      </c>
      <c r="M474" t="str">
        <f>VLOOKUP(E474,Price!$A$2:$C$9,3,)</f>
        <v>$14.00</v>
      </c>
      <c r="N474">
        <f t="shared" si="45"/>
        <v>416</v>
      </c>
      <c r="O474">
        <f t="shared" si="46"/>
        <v>182</v>
      </c>
      <c r="P474">
        <f t="shared" si="47"/>
        <v>234</v>
      </c>
      <c r="Q474" s="20">
        <f>Table1[[#This Row],[Profit ]]/Table1[[#This Row],[Total Revenue]]</f>
        <v>0.5625</v>
      </c>
    </row>
    <row r="475" spans="1:17" ht="15.75" thickBot="1" x14ac:dyDescent="0.3">
      <c r="A475" s="10" t="s">
        <v>195</v>
      </c>
      <c r="B475" s="16" t="str">
        <f t="shared" si="42"/>
        <v>2026</v>
      </c>
      <c r="C475" s="16" t="str">
        <f t="shared" si="43"/>
        <v>26</v>
      </c>
      <c r="D475" s="16" t="str">
        <f t="shared" si="44"/>
        <v>Jan</v>
      </c>
      <c r="E475" s="5" t="s">
        <v>74</v>
      </c>
      <c r="F475" s="5" t="s">
        <v>62</v>
      </c>
      <c r="G475" s="8" t="s">
        <v>17</v>
      </c>
      <c r="H475" s="5" t="s">
        <v>52</v>
      </c>
      <c r="I475" s="8" t="s">
        <v>25</v>
      </c>
      <c r="J475" s="9">
        <v>4</v>
      </c>
      <c r="K475" s="8" t="s">
        <v>14</v>
      </c>
      <c r="L475" t="s">
        <v>204</v>
      </c>
      <c r="M475" t="str">
        <f>VLOOKUP(E475,Price!$A$2:$C$9,3,)</f>
        <v>$47.00</v>
      </c>
      <c r="N475">
        <f t="shared" si="45"/>
        <v>356</v>
      </c>
      <c r="O475">
        <f t="shared" si="46"/>
        <v>188</v>
      </c>
      <c r="P475">
        <f t="shared" si="47"/>
        <v>168</v>
      </c>
      <c r="Q475" s="20">
        <f>Table1[[#This Row],[Profit ]]/Table1[[#This Row],[Total Revenue]]</f>
        <v>0.47191011235955055</v>
      </c>
    </row>
    <row r="476" spans="1:17" ht="15.75" thickBot="1" x14ac:dyDescent="0.3">
      <c r="A476" s="11" t="s">
        <v>196</v>
      </c>
      <c r="B476" s="17" t="str">
        <f t="shared" si="42"/>
        <v>2026</v>
      </c>
      <c r="C476" s="17" t="str">
        <f t="shared" si="43"/>
        <v>31</v>
      </c>
      <c r="D476" s="17" t="str">
        <f t="shared" si="44"/>
        <v>Jul</v>
      </c>
      <c r="E476" s="5" t="s">
        <v>118</v>
      </c>
      <c r="F476" s="5" t="s">
        <v>10</v>
      </c>
      <c r="G476" s="5" t="s">
        <v>43</v>
      </c>
      <c r="H476" s="5" t="s">
        <v>63</v>
      </c>
      <c r="I476" s="5" t="s">
        <v>73</v>
      </c>
      <c r="J476" s="6">
        <v>3</v>
      </c>
      <c r="K476" s="5" t="s">
        <v>14</v>
      </c>
      <c r="L476" t="s">
        <v>218</v>
      </c>
      <c r="M476" t="str">
        <f>VLOOKUP(E476,Price!$A$2:$C$9,3,)</f>
        <v>$67.00</v>
      </c>
      <c r="N476">
        <f t="shared" si="45"/>
        <v>357</v>
      </c>
      <c r="O476">
        <f t="shared" si="46"/>
        <v>201</v>
      </c>
      <c r="P476">
        <f t="shared" si="47"/>
        <v>156</v>
      </c>
      <c r="Q476" s="20">
        <f>Table1[[#This Row],[Profit ]]/Table1[[#This Row],[Total Revenue]]</f>
        <v>0.43697478991596639</v>
      </c>
    </row>
    <row r="477" spans="1:17" ht="15.75" thickBot="1" x14ac:dyDescent="0.3">
      <c r="A477" s="10" t="s">
        <v>182</v>
      </c>
      <c r="B477" s="16" t="str">
        <f t="shared" si="42"/>
        <v>2026</v>
      </c>
      <c r="C477" s="16" t="str">
        <f t="shared" si="43"/>
        <v>25</v>
      </c>
      <c r="D477" s="16" t="str">
        <f t="shared" si="44"/>
        <v>Feb</v>
      </c>
      <c r="E477" s="5" t="s">
        <v>34</v>
      </c>
      <c r="F477" s="5" t="s">
        <v>62</v>
      </c>
      <c r="G477" s="8" t="s">
        <v>43</v>
      </c>
      <c r="H477" s="5" t="s">
        <v>63</v>
      </c>
      <c r="I477" s="8" t="s">
        <v>33</v>
      </c>
      <c r="J477" s="9">
        <v>13</v>
      </c>
      <c r="K477" s="8" t="s">
        <v>50</v>
      </c>
      <c r="L477" t="s">
        <v>212</v>
      </c>
      <c r="M477" t="str">
        <f>VLOOKUP(E477,Price!$A$2:$C$9,3,)</f>
        <v>$72.00</v>
      </c>
      <c r="N477">
        <f t="shared" si="45"/>
        <v>1664</v>
      </c>
      <c r="O477">
        <f t="shared" si="46"/>
        <v>936</v>
      </c>
      <c r="P477">
        <f t="shared" si="47"/>
        <v>728</v>
      </c>
      <c r="Q477" s="20">
        <f>Table1[[#This Row],[Profit ]]/Table1[[#This Row],[Total Revenue]]</f>
        <v>0.4375</v>
      </c>
    </row>
    <row r="478" spans="1:17" ht="15.75" thickBot="1" x14ac:dyDescent="0.3">
      <c r="A478" s="11" t="s">
        <v>98</v>
      </c>
      <c r="B478" s="17" t="str">
        <f t="shared" si="42"/>
        <v>2026</v>
      </c>
      <c r="C478" s="17" t="str">
        <f t="shared" si="43"/>
        <v>19</v>
      </c>
      <c r="D478" s="17" t="str">
        <f t="shared" si="44"/>
        <v>Apr</v>
      </c>
      <c r="E478" s="5" t="s">
        <v>80</v>
      </c>
      <c r="F478" s="5" t="s">
        <v>62</v>
      </c>
      <c r="G478" s="5" t="s">
        <v>43</v>
      </c>
      <c r="H478" s="5" t="s">
        <v>12</v>
      </c>
      <c r="I478" s="5" t="s">
        <v>103</v>
      </c>
      <c r="J478" s="6">
        <v>9</v>
      </c>
      <c r="K478" s="5" t="s">
        <v>14</v>
      </c>
      <c r="L478" t="s">
        <v>210</v>
      </c>
      <c r="M478" t="str">
        <f>VLOOKUP(E478,Price!$A$2:$C$9,3,)</f>
        <v>$39.00</v>
      </c>
      <c r="N478">
        <f t="shared" si="45"/>
        <v>684</v>
      </c>
      <c r="O478">
        <f t="shared" si="46"/>
        <v>351</v>
      </c>
      <c r="P478">
        <f t="shared" si="47"/>
        <v>333</v>
      </c>
      <c r="Q478" s="20">
        <f>Table1[[#This Row],[Profit ]]/Table1[[#This Row],[Total Revenue]]</f>
        <v>0.48684210526315791</v>
      </c>
    </row>
    <row r="479" spans="1:17" ht="15.75" thickBot="1" x14ac:dyDescent="0.3">
      <c r="A479" s="10" t="s">
        <v>163</v>
      </c>
      <c r="B479" s="16" t="str">
        <f t="shared" si="42"/>
        <v>2026</v>
      </c>
      <c r="C479" s="16" t="str">
        <f t="shared" si="43"/>
        <v>25</v>
      </c>
      <c r="D479" s="16" t="str">
        <f t="shared" si="44"/>
        <v>May</v>
      </c>
      <c r="E479" s="5" t="s">
        <v>97</v>
      </c>
      <c r="F479" s="5" t="s">
        <v>62</v>
      </c>
      <c r="G479" s="8" t="s">
        <v>17</v>
      </c>
      <c r="H479" s="5" t="s">
        <v>67</v>
      </c>
      <c r="I479" s="8" t="s">
        <v>53</v>
      </c>
      <c r="J479" s="9">
        <v>10</v>
      </c>
      <c r="K479" s="8" t="s">
        <v>14</v>
      </c>
      <c r="L479" t="s">
        <v>206</v>
      </c>
      <c r="M479" t="str">
        <f>VLOOKUP(E479,Price!$A$2:$C$9,3,)</f>
        <v>$28.00</v>
      </c>
      <c r="N479">
        <f t="shared" si="45"/>
        <v>540</v>
      </c>
      <c r="O479">
        <f t="shared" si="46"/>
        <v>280</v>
      </c>
      <c r="P479">
        <f t="shared" si="47"/>
        <v>260</v>
      </c>
      <c r="Q479" s="20">
        <f>Table1[[#This Row],[Profit ]]/Table1[[#This Row],[Total Revenue]]</f>
        <v>0.48148148148148145</v>
      </c>
    </row>
    <row r="480" spans="1:17" ht="15.75" thickBot="1" x14ac:dyDescent="0.3">
      <c r="A480" s="11">
        <v>46266</v>
      </c>
      <c r="B480" s="17" t="str">
        <f t="shared" si="42"/>
        <v>6266</v>
      </c>
      <c r="C480" s="17" t="str">
        <f t="shared" si="43"/>
        <v>66</v>
      </c>
      <c r="D480" s="17" t="str">
        <f t="shared" si="44"/>
        <v>Dec</v>
      </c>
      <c r="E480" s="5" t="s">
        <v>118</v>
      </c>
      <c r="F480" s="5" t="s">
        <v>62</v>
      </c>
      <c r="G480" s="5" t="s">
        <v>23</v>
      </c>
      <c r="H480" s="5" t="s">
        <v>12</v>
      </c>
      <c r="I480" s="5" t="s">
        <v>41</v>
      </c>
      <c r="J480" s="6">
        <v>6</v>
      </c>
      <c r="K480" s="5" t="s">
        <v>42</v>
      </c>
      <c r="L480" t="s">
        <v>218</v>
      </c>
      <c r="M480" t="str">
        <f>VLOOKUP(E480,Price!$A$2:$C$9,3,)</f>
        <v>$67.00</v>
      </c>
      <c r="N480">
        <f t="shared" si="45"/>
        <v>714</v>
      </c>
      <c r="O480">
        <f t="shared" si="46"/>
        <v>402</v>
      </c>
      <c r="P480">
        <f t="shared" si="47"/>
        <v>312</v>
      </c>
      <c r="Q480" s="20">
        <f>Table1[[#This Row],[Profit ]]/Table1[[#This Row],[Total Revenue]]</f>
        <v>0.43697478991596639</v>
      </c>
    </row>
    <row r="481" spans="1:17" ht="15.75" thickBot="1" x14ac:dyDescent="0.3">
      <c r="A481" s="10">
        <v>46333</v>
      </c>
      <c r="B481" s="16" t="str">
        <f t="shared" si="42"/>
        <v>6333</v>
      </c>
      <c r="C481" s="16" t="str">
        <f t="shared" si="43"/>
        <v>33</v>
      </c>
      <c r="D481" s="16" t="str">
        <f t="shared" si="44"/>
        <v>Nov</v>
      </c>
      <c r="E481" s="5" t="s">
        <v>21</v>
      </c>
      <c r="F481" s="5" t="s">
        <v>62</v>
      </c>
      <c r="G481" s="8" t="s">
        <v>17</v>
      </c>
      <c r="H481" s="5" t="s">
        <v>52</v>
      </c>
      <c r="I481" s="8" t="s">
        <v>41</v>
      </c>
      <c r="J481" s="9">
        <v>15</v>
      </c>
      <c r="K481" s="8" t="s">
        <v>19</v>
      </c>
      <c r="L481" t="s">
        <v>208</v>
      </c>
      <c r="M481" t="str">
        <f>VLOOKUP(E481,Price!$A$2:$C$9,3,)</f>
        <v>$14.00</v>
      </c>
      <c r="N481">
        <f t="shared" si="45"/>
        <v>480</v>
      </c>
      <c r="O481">
        <f t="shared" si="46"/>
        <v>210</v>
      </c>
      <c r="P481">
        <f t="shared" si="47"/>
        <v>270</v>
      </c>
      <c r="Q481" s="20">
        <f>Table1[[#This Row],[Profit ]]/Table1[[#This Row],[Total Revenue]]</f>
        <v>0.5625</v>
      </c>
    </row>
    <row r="482" spans="1:17" ht="15.75" thickBot="1" x14ac:dyDescent="0.3">
      <c r="A482" s="11" t="s">
        <v>87</v>
      </c>
      <c r="B482" s="17" t="str">
        <f t="shared" si="42"/>
        <v>2026</v>
      </c>
      <c r="C482" s="17" t="str">
        <f t="shared" si="43"/>
        <v>16</v>
      </c>
      <c r="D482" s="17" t="str">
        <f t="shared" si="44"/>
        <v>Jul</v>
      </c>
      <c r="E482" s="5" t="s">
        <v>118</v>
      </c>
      <c r="F482" s="5" t="s">
        <v>10</v>
      </c>
      <c r="G482" s="5" t="s">
        <v>43</v>
      </c>
      <c r="H482" s="5" t="s">
        <v>52</v>
      </c>
      <c r="I482" s="5" t="s">
        <v>28</v>
      </c>
      <c r="J482" s="6">
        <v>11</v>
      </c>
      <c r="K482" s="5" t="s">
        <v>19</v>
      </c>
      <c r="L482" t="s">
        <v>218</v>
      </c>
      <c r="M482" t="str">
        <f>VLOOKUP(E482,Price!$A$2:$C$9,3,)</f>
        <v>$67.00</v>
      </c>
      <c r="N482">
        <f t="shared" si="45"/>
        <v>1309</v>
      </c>
      <c r="O482">
        <f t="shared" si="46"/>
        <v>737</v>
      </c>
      <c r="P482">
        <f t="shared" si="47"/>
        <v>572</v>
      </c>
      <c r="Q482" s="20">
        <f>Table1[[#This Row],[Profit ]]/Table1[[#This Row],[Total Revenue]]</f>
        <v>0.43697478991596639</v>
      </c>
    </row>
    <row r="483" spans="1:17" ht="15.75" thickBot="1" x14ac:dyDescent="0.3">
      <c r="A483" s="10" t="s">
        <v>155</v>
      </c>
      <c r="B483" s="16" t="str">
        <f t="shared" si="42"/>
        <v>2026</v>
      </c>
      <c r="C483" s="16" t="str">
        <f t="shared" si="43"/>
        <v>27</v>
      </c>
      <c r="D483" s="16" t="str">
        <f t="shared" si="44"/>
        <v>Feb</v>
      </c>
      <c r="E483" s="5" t="s">
        <v>74</v>
      </c>
      <c r="F483" s="5" t="s">
        <v>62</v>
      </c>
      <c r="G483" s="8" t="s">
        <v>43</v>
      </c>
      <c r="H483" s="5" t="s">
        <v>63</v>
      </c>
      <c r="I483" s="8" t="s">
        <v>86</v>
      </c>
      <c r="J483" s="9">
        <v>9</v>
      </c>
      <c r="K483" s="8" t="s">
        <v>42</v>
      </c>
      <c r="L483" t="s">
        <v>204</v>
      </c>
      <c r="M483" t="str">
        <f>VLOOKUP(E483,Price!$A$2:$C$9,3,)</f>
        <v>$47.00</v>
      </c>
      <c r="N483">
        <f t="shared" si="45"/>
        <v>801</v>
      </c>
      <c r="O483">
        <f t="shared" si="46"/>
        <v>423</v>
      </c>
      <c r="P483">
        <f t="shared" si="47"/>
        <v>378</v>
      </c>
      <c r="Q483" s="20">
        <f>Table1[[#This Row],[Profit ]]/Table1[[#This Row],[Total Revenue]]</f>
        <v>0.47191011235955055</v>
      </c>
    </row>
    <row r="484" spans="1:17" ht="15.75" thickBot="1" x14ac:dyDescent="0.3">
      <c r="A484" s="11" t="s">
        <v>141</v>
      </c>
      <c r="B484" s="17" t="str">
        <f t="shared" si="42"/>
        <v>2026</v>
      </c>
      <c r="C484" s="17" t="str">
        <f t="shared" si="43"/>
        <v>31</v>
      </c>
      <c r="D484" s="17" t="str">
        <f t="shared" si="44"/>
        <v>May</v>
      </c>
      <c r="E484" s="5" t="s">
        <v>21</v>
      </c>
      <c r="F484" s="5" t="s">
        <v>10</v>
      </c>
      <c r="G484" s="5" t="s">
        <v>43</v>
      </c>
      <c r="H484" s="5" t="s">
        <v>63</v>
      </c>
      <c r="I484" s="5" t="s">
        <v>64</v>
      </c>
      <c r="J484" s="6">
        <v>8</v>
      </c>
      <c r="K484" s="5" t="s">
        <v>50</v>
      </c>
      <c r="L484" t="s">
        <v>208</v>
      </c>
      <c r="M484" t="str">
        <f>VLOOKUP(E484,Price!$A$2:$C$9,3,)</f>
        <v>$14.00</v>
      </c>
      <c r="N484">
        <f t="shared" si="45"/>
        <v>256</v>
      </c>
      <c r="O484">
        <f t="shared" si="46"/>
        <v>112</v>
      </c>
      <c r="P484">
        <f t="shared" si="47"/>
        <v>144</v>
      </c>
      <c r="Q484" s="20">
        <f>Table1[[#This Row],[Profit ]]/Table1[[#This Row],[Total Revenue]]</f>
        <v>0.5625</v>
      </c>
    </row>
    <row r="485" spans="1:17" ht="15.75" thickBot="1" x14ac:dyDescent="0.3">
      <c r="A485" s="10">
        <v>46086</v>
      </c>
      <c r="B485" s="16" t="str">
        <f t="shared" si="42"/>
        <v>6086</v>
      </c>
      <c r="C485" s="16" t="str">
        <f t="shared" si="43"/>
        <v>86</v>
      </c>
      <c r="D485" s="16" t="str">
        <f t="shared" si="44"/>
        <v>Dec</v>
      </c>
      <c r="E485" s="5" t="s">
        <v>80</v>
      </c>
      <c r="F485" s="5" t="s">
        <v>10</v>
      </c>
      <c r="G485" s="8" t="s">
        <v>11</v>
      </c>
      <c r="H485" s="5" t="s">
        <v>52</v>
      </c>
      <c r="I485" s="8" t="s">
        <v>25</v>
      </c>
      <c r="J485" s="9">
        <v>13</v>
      </c>
      <c r="K485" s="8" t="s">
        <v>50</v>
      </c>
      <c r="L485" t="s">
        <v>210</v>
      </c>
      <c r="M485" t="str">
        <f>VLOOKUP(E485,Price!$A$2:$C$9,3,)</f>
        <v>$39.00</v>
      </c>
      <c r="N485">
        <f t="shared" si="45"/>
        <v>988</v>
      </c>
      <c r="O485">
        <f t="shared" si="46"/>
        <v>507</v>
      </c>
      <c r="P485">
        <f t="shared" si="47"/>
        <v>481</v>
      </c>
      <c r="Q485" s="20">
        <f>Table1[[#This Row],[Profit ]]/Table1[[#This Row],[Total Revenue]]</f>
        <v>0.48684210526315791</v>
      </c>
    </row>
    <row r="486" spans="1:17" ht="15.75" thickBot="1" x14ac:dyDescent="0.3">
      <c r="A486" s="11">
        <v>46363</v>
      </c>
      <c r="B486" s="17" t="str">
        <f t="shared" si="42"/>
        <v>6363</v>
      </c>
      <c r="C486" s="17" t="str">
        <f t="shared" si="43"/>
        <v>63</v>
      </c>
      <c r="D486" s="17" t="str">
        <f t="shared" si="44"/>
        <v>Dec</v>
      </c>
      <c r="E486" s="5" t="s">
        <v>34</v>
      </c>
      <c r="F486" s="5" t="s">
        <v>62</v>
      </c>
      <c r="G486" s="5" t="s">
        <v>11</v>
      </c>
      <c r="H486" s="5" t="s">
        <v>63</v>
      </c>
      <c r="I486" s="5" t="s">
        <v>49</v>
      </c>
      <c r="J486" s="6">
        <v>6</v>
      </c>
      <c r="K486" s="5" t="s">
        <v>42</v>
      </c>
      <c r="L486" t="s">
        <v>212</v>
      </c>
      <c r="M486" t="str">
        <f>VLOOKUP(E486,Price!$A$2:$C$9,3,)</f>
        <v>$72.00</v>
      </c>
      <c r="N486">
        <f t="shared" si="45"/>
        <v>768</v>
      </c>
      <c r="O486">
        <f t="shared" si="46"/>
        <v>432</v>
      </c>
      <c r="P486">
        <f t="shared" si="47"/>
        <v>336</v>
      </c>
      <c r="Q486" s="20">
        <f>Table1[[#This Row],[Profit ]]/Table1[[#This Row],[Total Revenue]]</f>
        <v>0.4375</v>
      </c>
    </row>
    <row r="487" spans="1:17" ht="15.75" thickBot="1" x14ac:dyDescent="0.3">
      <c r="A487" s="10">
        <v>46113</v>
      </c>
      <c r="B487" s="16" t="str">
        <f t="shared" si="42"/>
        <v>6113</v>
      </c>
      <c r="C487" s="16" t="str">
        <f t="shared" si="43"/>
        <v>13</v>
      </c>
      <c r="D487" s="16" t="str">
        <f t="shared" si="44"/>
        <v>Oct</v>
      </c>
      <c r="E487" s="5" t="s">
        <v>72</v>
      </c>
      <c r="F487" s="5" t="s">
        <v>62</v>
      </c>
      <c r="G487" s="8" t="s">
        <v>43</v>
      </c>
      <c r="H487" s="5" t="s">
        <v>138</v>
      </c>
      <c r="I487" s="8" t="s">
        <v>53</v>
      </c>
      <c r="J487" s="9">
        <v>3</v>
      </c>
      <c r="K487" s="8" t="s">
        <v>50</v>
      </c>
      <c r="L487" t="s">
        <v>214</v>
      </c>
      <c r="M487" t="str">
        <f>VLOOKUP(E487,Price!$A$2:$C$9,3,)</f>
        <v>$58.00</v>
      </c>
      <c r="N487">
        <f t="shared" si="45"/>
        <v>315</v>
      </c>
      <c r="O487">
        <f t="shared" si="46"/>
        <v>174</v>
      </c>
      <c r="P487">
        <f t="shared" si="47"/>
        <v>141</v>
      </c>
      <c r="Q487" s="20">
        <f>Table1[[#This Row],[Profit ]]/Table1[[#This Row],[Total Revenue]]</f>
        <v>0.44761904761904764</v>
      </c>
    </row>
    <row r="488" spans="1:17" ht="15.75" thickBot="1" x14ac:dyDescent="0.3">
      <c r="A488" s="11" t="s">
        <v>182</v>
      </c>
      <c r="B488" s="17" t="str">
        <f t="shared" si="42"/>
        <v>2026</v>
      </c>
      <c r="C488" s="17" t="str">
        <f t="shared" si="43"/>
        <v>25</v>
      </c>
      <c r="D488" s="17" t="str">
        <f t="shared" si="44"/>
        <v>Feb</v>
      </c>
      <c r="E488" s="5" t="s">
        <v>21</v>
      </c>
      <c r="F488" s="5" t="s">
        <v>10</v>
      </c>
      <c r="G488" s="5" t="s">
        <v>43</v>
      </c>
      <c r="H488" s="5" t="s">
        <v>52</v>
      </c>
      <c r="I488" s="5" t="s">
        <v>56</v>
      </c>
      <c r="J488" s="6">
        <v>8</v>
      </c>
      <c r="K488" s="5" t="s">
        <v>14</v>
      </c>
      <c r="L488" t="s">
        <v>208</v>
      </c>
      <c r="M488" t="str">
        <f>VLOOKUP(E488,Price!$A$2:$C$9,3,)</f>
        <v>$14.00</v>
      </c>
      <c r="N488">
        <f t="shared" si="45"/>
        <v>256</v>
      </c>
      <c r="O488">
        <f t="shared" si="46"/>
        <v>112</v>
      </c>
      <c r="P488">
        <f t="shared" si="47"/>
        <v>144</v>
      </c>
      <c r="Q488" s="20">
        <f>Table1[[#This Row],[Profit ]]/Table1[[#This Row],[Total Revenue]]</f>
        <v>0.5625</v>
      </c>
    </row>
    <row r="489" spans="1:17" ht="15.75" thickBot="1" x14ac:dyDescent="0.3">
      <c r="A489" s="10">
        <v>46358</v>
      </c>
      <c r="B489" s="16" t="str">
        <f t="shared" si="42"/>
        <v>6358</v>
      </c>
      <c r="C489" s="16" t="str">
        <f t="shared" si="43"/>
        <v>58</v>
      </c>
      <c r="D489" s="16" t="str">
        <f t="shared" si="44"/>
        <v>Nov</v>
      </c>
      <c r="E489" s="5" t="s">
        <v>74</v>
      </c>
      <c r="F489" s="5" t="s">
        <v>10</v>
      </c>
      <c r="G489" s="8" t="s">
        <v>17</v>
      </c>
      <c r="H489" s="5" t="s">
        <v>63</v>
      </c>
      <c r="I489" s="8" t="s">
        <v>86</v>
      </c>
      <c r="J489" s="9">
        <v>15</v>
      </c>
      <c r="K489" s="8" t="s">
        <v>50</v>
      </c>
      <c r="L489" t="s">
        <v>204</v>
      </c>
      <c r="M489" t="str">
        <f>VLOOKUP(E489,Price!$A$2:$C$9,3,)</f>
        <v>$47.00</v>
      </c>
      <c r="N489">
        <f t="shared" si="45"/>
        <v>1335</v>
      </c>
      <c r="O489">
        <f t="shared" si="46"/>
        <v>705</v>
      </c>
      <c r="P489">
        <f t="shared" si="47"/>
        <v>630</v>
      </c>
      <c r="Q489" s="20">
        <f>Table1[[#This Row],[Profit ]]/Table1[[#This Row],[Total Revenue]]</f>
        <v>0.47191011235955055</v>
      </c>
    </row>
    <row r="490" spans="1:17" ht="15.75" thickBot="1" x14ac:dyDescent="0.3">
      <c r="A490" s="11" t="s">
        <v>146</v>
      </c>
      <c r="B490" s="17" t="str">
        <f t="shared" si="42"/>
        <v>2026</v>
      </c>
      <c r="C490" s="17" t="str">
        <f t="shared" si="43"/>
        <v>15</v>
      </c>
      <c r="D490" s="17" t="str">
        <f t="shared" si="44"/>
        <v>Jul</v>
      </c>
      <c r="E490" s="5" t="s">
        <v>74</v>
      </c>
      <c r="F490" s="5" t="s">
        <v>10</v>
      </c>
      <c r="G490" s="5" t="s">
        <v>11</v>
      </c>
      <c r="H490" s="5" t="s">
        <v>52</v>
      </c>
      <c r="I490" s="5" t="s">
        <v>33</v>
      </c>
      <c r="J490" s="6">
        <v>2</v>
      </c>
      <c r="K490" s="5" t="s">
        <v>14</v>
      </c>
      <c r="L490" t="s">
        <v>204</v>
      </c>
      <c r="M490" t="str">
        <f>VLOOKUP(E490,Price!$A$2:$C$9,3,)</f>
        <v>$47.00</v>
      </c>
      <c r="N490">
        <f t="shared" si="45"/>
        <v>178</v>
      </c>
      <c r="O490">
        <f t="shared" si="46"/>
        <v>94</v>
      </c>
      <c r="P490">
        <f t="shared" si="47"/>
        <v>84</v>
      </c>
      <c r="Q490" s="20">
        <f>Table1[[#This Row],[Profit ]]/Table1[[#This Row],[Total Revenue]]</f>
        <v>0.47191011235955055</v>
      </c>
    </row>
    <row r="491" spans="1:17" ht="15.75" thickBot="1" x14ac:dyDescent="0.3">
      <c r="A491" s="10" t="s">
        <v>131</v>
      </c>
      <c r="B491" s="16" t="str">
        <f t="shared" si="42"/>
        <v>2026</v>
      </c>
      <c r="C491" s="16" t="str">
        <f t="shared" si="43"/>
        <v>25</v>
      </c>
      <c r="D491" s="16" t="str">
        <f t="shared" si="44"/>
        <v>Apr</v>
      </c>
      <c r="E491" s="5" t="s">
        <v>140</v>
      </c>
      <c r="F491" s="5" t="s">
        <v>10</v>
      </c>
      <c r="G491" s="8" t="s">
        <v>11</v>
      </c>
      <c r="H491" s="5" t="s">
        <v>52</v>
      </c>
      <c r="I491" s="8" t="s">
        <v>56</v>
      </c>
      <c r="J491" s="9">
        <v>10</v>
      </c>
      <c r="K491" s="8" t="s">
        <v>50</v>
      </c>
      <c r="L491" t="s">
        <v>216</v>
      </c>
      <c r="M491" t="str">
        <f>VLOOKUP(E491,Price!$A$2:$C$9,3,)</f>
        <v>$64.00</v>
      </c>
      <c r="N491">
        <f t="shared" si="45"/>
        <v>1120</v>
      </c>
      <c r="O491">
        <f t="shared" si="46"/>
        <v>640</v>
      </c>
      <c r="P491">
        <f t="shared" si="47"/>
        <v>480</v>
      </c>
      <c r="Q491" s="20">
        <f>Table1[[#This Row],[Profit ]]/Table1[[#This Row],[Total Revenue]]</f>
        <v>0.42857142857142855</v>
      </c>
    </row>
    <row r="492" spans="1:17" ht="15.75" thickBot="1" x14ac:dyDescent="0.3">
      <c r="A492" s="11" t="s">
        <v>108</v>
      </c>
      <c r="B492" s="17" t="str">
        <f t="shared" si="42"/>
        <v>2026</v>
      </c>
      <c r="C492" s="17" t="str">
        <f t="shared" si="43"/>
        <v>23</v>
      </c>
      <c r="D492" s="17" t="str">
        <f t="shared" si="44"/>
        <v>Jan</v>
      </c>
      <c r="E492" s="5" t="s">
        <v>97</v>
      </c>
      <c r="F492" s="5" t="s">
        <v>10</v>
      </c>
      <c r="G492" s="5" t="s">
        <v>11</v>
      </c>
      <c r="H492" s="5" t="s">
        <v>12</v>
      </c>
      <c r="I492" s="5" t="s">
        <v>53</v>
      </c>
      <c r="J492" s="6">
        <v>5</v>
      </c>
      <c r="K492" s="5" t="s">
        <v>14</v>
      </c>
      <c r="L492" t="s">
        <v>206</v>
      </c>
      <c r="M492" t="str">
        <f>VLOOKUP(E492,Price!$A$2:$C$9,3,)</f>
        <v>$28.00</v>
      </c>
      <c r="N492">
        <f t="shared" si="45"/>
        <v>270</v>
      </c>
      <c r="O492">
        <f t="shared" si="46"/>
        <v>140</v>
      </c>
      <c r="P492">
        <f t="shared" si="47"/>
        <v>130</v>
      </c>
      <c r="Q492" s="20">
        <f>Table1[[#This Row],[Profit ]]/Table1[[#This Row],[Total Revenue]]</f>
        <v>0.48148148148148145</v>
      </c>
    </row>
    <row r="493" spans="1:17" ht="15.75" thickBot="1" x14ac:dyDescent="0.3">
      <c r="A493" s="10" t="s">
        <v>197</v>
      </c>
      <c r="B493" s="16" t="str">
        <f t="shared" si="42"/>
        <v>2026</v>
      </c>
      <c r="C493" s="16" t="str">
        <f t="shared" si="43"/>
        <v>14</v>
      </c>
      <c r="D493" s="16" t="str">
        <f t="shared" si="44"/>
        <v>Mar</v>
      </c>
      <c r="E493" s="5" t="s">
        <v>21</v>
      </c>
      <c r="F493" s="5" t="s">
        <v>10</v>
      </c>
      <c r="G493" s="8" t="s">
        <v>43</v>
      </c>
      <c r="H493" s="5" t="s">
        <v>63</v>
      </c>
      <c r="I493" s="8" t="s">
        <v>28</v>
      </c>
      <c r="J493" s="9">
        <v>15</v>
      </c>
      <c r="K493" s="8" t="s">
        <v>42</v>
      </c>
      <c r="L493" t="s">
        <v>208</v>
      </c>
      <c r="M493" t="str">
        <f>VLOOKUP(E493,Price!$A$2:$C$9,3,)</f>
        <v>$14.00</v>
      </c>
      <c r="N493">
        <f t="shared" si="45"/>
        <v>480</v>
      </c>
      <c r="O493">
        <f t="shared" si="46"/>
        <v>210</v>
      </c>
      <c r="P493">
        <f t="shared" si="47"/>
        <v>270</v>
      </c>
      <c r="Q493" s="20">
        <f>Table1[[#This Row],[Profit ]]/Table1[[#This Row],[Total Revenue]]</f>
        <v>0.5625</v>
      </c>
    </row>
    <row r="494" spans="1:17" ht="15.75" thickBot="1" x14ac:dyDescent="0.3">
      <c r="A494" s="11">
        <v>46328</v>
      </c>
      <c r="B494" s="17" t="str">
        <f t="shared" si="42"/>
        <v>6328</v>
      </c>
      <c r="C494" s="17" t="str">
        <f t="shared" si="43"/>
        <v>28</v>
      </c>
      <c r="D494" s="17" t="str">
        <f t="shared" si="44"/>
        <v>Oct</v>
      </c>
      <c r="E494" s="5" t="s">
        <v>34</v>
      </c>
      <c r="F494" s="5" t="s">
        <v>10</v>
      </c>
      <c r="G494" s="5" t="s">
        <v>17</v>
      </c>
      <c r="H494" s="5" t="s">
        <v>67</v>
      </c>
      <c r="I494" s="5" t="s">
        <v>73</v>
      </c>
      <c r="J494" s="6">
        <v>15</v>
      </c>
      <c r="K494" s="5" t="s">
        <v>42</v>
      </c>
      <c r="L494" t="s">
        <v>212</v>
      </c>
      <c r="M494" t="str">
        <f>VLOOKUP(E494,Price!$A$2:$C$9,3,)</f>
        <v>$72.00</v>
      </c>
      <c r="N494">
        <f t="shared" si="45"/>
        <v>1920</v>
      </c>
      <c r="O494">
        <f t="shared" si="46"/>
        <v>1080</v>
      </c>
      <c r="P494">
        <f t="shared" si="47"/>
        <v>840</v>
      </c>
      <c r="Q494" s="20">
        <f>Table1[[#This Row],[Profit ]]/Table1[[#This Row],[Total Revenue]]</f>
        <v>0.4375</v>
      </c>
    </row>
    <row r="495" spans="1:17" ht="15.75" thickBot="1" x14ac:dyDescent="0.3">
      <c r="A495" s="10">
        <v>46361</v>
      </c>
      <c r="B495" s="16" t="str">
        <f t="shared" si="42"/>
        <v>6361</v>
      </c>
      <c r="C495" s="16" t="str">
        <f t="shared" si="43"/>
        <v>61</v>
      </c>
      <c r="D495" s="16" t="str">
        <f t="shared" si="44"/>
        <v>Nov</v>
      </c>
      <c r="E495" s="5" t="s">
        <v>80</v>
      </c>
      <c r="F495" s="5" t="s">
        <v>90</v>
      </c>
      <c r="G495" s="8" t="s">
        <v>11</v>
      </c>
      <c r="H495" s="5" t="s">
        <v>52</v>
      </c>
      <c r="I495" s="8" t="s">
        <v>25</v>
      </c>
      <c r="J495" s="9">
        <v>10</v>
      </c>
      <c r="K495" s="8" t="s">
        <v>19</v>
      </c>
      <c r="L495" t="s">
        <v>210</v>
      </c>
      <c r="M495" t="str">
        <f>VLOOKUP(E495,Price!$A$2:$C$9,3,)</f>
        <v>$39.00</v>
      </c>
      <c r="N495">
        <f t="shared" si="45"/>
        <v>760</v>
      </c>
      <c r="O495">
        <f t="shared" si="46"/>
        <v>390</v>
      </c>
      <c r="P495">
        <f t="shared" si="47"/>
        <v>370</v>
      </c>
      <c r="Q495" s="20">
        <f>Table1[[#This Row],[Profit ]]/Table1[[#This Row],[Total Revenue]]</f>
        <v>0.48684210526315791</v>
      </c>
    </row>
    <row r="496" spans="1:17" ht="15.75" thickBot="1" x14ac:dyDescent="0.3">
      <c r="A496" s="11" t="s">
        <v>198</v>
      </c>
      <c r="B496" s="17" t="str">
        <f t="shared" si="42"/>
        <v>2026</v>
      </c>
      <c r="C496" s="17" t="str">
        <f t="shared" si="43"/>
        <v>26</v>
      </c>
      <c r="D496" s="17" t="str">
        <f t="shared" si="44"/>
        <v>Feb</v>
      </c>
      <c r="E496" s="5" t="s">
        <v>34</v>
      </c>
      <c r="F496" s="5" t="s">
        <v>90</v>
      </c>
      <c r="G496" s="5" t="s">
        <v>11</v>
      </c>
      <c r="H496" s="5" t="s">
        <v>52</v>
      </c>
      <c r="I496" s="5" t="s">
        <v>28</v>
      </c>
      <c r="J496" s="6">
        <v>5</v>
      </c>
      <c r="K496" s="5" t="s">
        <v>14</v>
      </c>
      <c r="L496" t="s">
        <v>212</v>
      </c>
      <c r="M496" t="str">
        <f>VLOOKUP(E496,Price!$A$2:$C$9,3,)</f>
        <v>$72.00</v>
      </c>
      <c r="N496">
        <f t="shared" si="45"/>
        <v>640</v>
      </c>
      <c r="O496">
        <f t="shared" si="46"/>
        <v>360</v>
      </c>
      <c r="P496">
        <f t="shared" si="47"/>
        <v>280</v>
      </c>
      <c r="Q496" s="20">
        <f>Table1[[#This Row],[Profit ]]/Table1[[#This Row],[Total Revenue]]</f>
        <v>0.4375</v>
      </c>
    </row>
    <row r="497" spans="1:17" ht="15.75" thickBot="1" x14ac:dyDescent="0.3">
      <c r="A497" s="10" t="s">
        <v>117</v>
      </c>
      <c r="B497" s="16" t="str">
        <f t="shared" si="42"/>
        <v>2026</v>
      </c>
      <c r="C497" s="16" t="str">
        <f t="shared" si="43"/>
        <v>21</v>
      </c>
      <c r="D497" s="16" t="str">
        <f t="shared" si="44"/>
        <v>Apr</v>
      </c>
      <c r="E497" s="5" t="s">
        <v>21</v>
      </c>
      <c r="F497" s="5" t="s">
        <v>90</v>
      </c>
      <c r="G497" s="8" t="s">
        <v>43</v>
      </c>
      <c r="H497" s="5" t="s">
        <v>138</v>
      </c>
      <c r="I497" s="8" t="s">
        <v>53</v>
      </c>
      <c r="J497" s="9">
        <v>5</v>
      </c>
      <c r="K497" s="8" t="s">
        <v>42</v>
      </c>
      <c r="L497" t="s">
        <v>208</v>
      </c>
      <c r="M497" t="str">
        <f>VLOOKUP(E497,Price!$A$2:$C$9,3,)</f>
        <v>$14.00</v>
      </c>
      <c r="N497">
        <f t="shared" si="45"/>
        <v>160</v>
      </c>
      <c r="O497">
        <f t="shared" si="46"/>
        <v>70</v>
      </c>
      <c r="P497">
        <f t="shared" si="47"/>
        <v>90</v>
      </c>
      <c r="Q497" s="20">
        <f>Table1[[#This Row],[Profit ]]/Table1[[#This Row],[Total Revenue]]</f>
        <v>0.5625</v>
      </c>
    </row>
    <row r="498" spans="1:17" ht="15.75" thickBot="1" x14ac:dyDescent="0.3">
      <c r="A498" s="11" t="s">
        <v>148</v>
      </c>
      <c r="B498" s="17" t="str">
        <f t="shared" si="42"/>
        <v>2026</v>
      </c>
      <c r="C498" s="17" t="str">
        <f t="shared" si="43"/>
        <v>25</v>
      </c>
      <c r="D498" s="17" t="str">
        <f t="shared" si="44"/>
        <v>Jun</v>
      </c>
      <c r="E498" s="5" t="s">
        <v>97</v>
      </c>
      <c r="F498" s="5" t="s">
        <v>90</v>
      </c>
      <c r="G498" s="5" t="s">
        <v>17</v>
      </c>
      <c r="H498" s="5" t="s">
        <v>63</v>
      </c>
      <c r="I498" s="5" t="s">
        <v>13</v>
      </c>
      <c r="J498" s="6">
        <v>8</v>
      </c>
      <c r="K498" s="5" t="s">
        <v>14</v>
      </c>
      <c r="L498" t="s">
        <v>206</v>
      </c>
      <c r="M498" t="str">
        <f>VLOOKUP(E498,Price!$A$2:$C$9,3,)</f>
        <v>$28.00</v>
      </c>
      <c r="N498">
        <f t="shared" si="45"/>
        <v>432</v>
      </c>
      <c r="O498">
        <f t="shared" si="46"/>
        <v>224</v>
      </c>
      <c r="P498">
        <f t="shared" si="47"/>
        <v>208</v>
      </c>
      <c r="Q498" s="20">
        <f>Table1[[#This Row],[Profit ]]/Table1[[#This Row],[Total Revenue]]</f>
        <v>0.48148148148148145</v>
      </c>
    </row>
    <row r="499" spans="1:17" ht="15.75" thickBot="1" x14ac:dyDescent="0.3">
      <c r="A499" s="10">
        <v>46059</v>
      </c>
      <c r="B499" s="16" t="str">
        <f t="shared" si="42"/>
        <v>6059</v>
      </c>
      <c r="C499" s="16" t="str">
        <f t="shared" si="43"/>
        <v>59</v>
      </c>
      <c r="D499" s="16" t="str">
        <f t="shared" si="44"/>
        <v>Nov</v>
      </c>
      <c r="E499" s="5" t="s">
        <v>72</v>
      </c>
      <c r="F499" s="5" t="s">
        <v>10</v>
      </c>
      <c r="G499" s="8" t="s">
        <v>23</v>
      </c>
      <c r="H499" s="5" t="s">
        <v>67</v>
      </c>
      <c r="I499" s="8" t="s">
        <v>103</v>
      </c>
      <c r="J499" s="9">
        <v>3</v>
      </c>
      <c r="K499" s="8" t="s">
        <v>14</v>
      </c>
      <c r="L499" t="s">
        <v>214</v>
      </c>
      <c r="M499" t="str">
        <f>VLOOKUP(E499,Price!$A$2:$C$9,3,)</f>
        <v>$58.00</v>
      </c>
      <c r="N499">
        <f t="shared" si="45"/>
        <v>315</v>
      </c>
      <c r="O499">
        <f t="shared" si="46"/>
        <v>174</v>
      </c>
      <c r="P499">
        <f t="shared" si="47"/>
        <v>141</v>
      </c>
      <c r="Q499" s="20">
        <f>Table1[[#This Row],[Profit ]]/Table1[[#This Row],[Total Revenue]]</f>
        <v>0.44761904761904764</v>
      </c>
    </row>
    <row r="500" spans="1:17" ht="15.75" thickBot="1" x14ac:dyDescent="0.3">
      <c r="A500" s="11">
        <v>46332</v>
      </c>
      <c r="B500" s="17" t="str">
        <f t="shared" si="42"/>
        <v>6332</v>
      </c>
      <c r="C500" s="17" t="str">
        <f t="shared" si="43"/>
        <v>32</v>
      </c>
      <c r="D500" s="17" t="str">
        <f t="shared" si="44"/>
        <v>Nov</v>
      </c>
      <c r="E500" s="5" t="s">
        <v>34</v>
      </c>
      <c r="F500" s="5" t="s">
        <v>62</v>
      </c>
      <c r="G500" s="5" t="s">
        <v>23</v>
      </c>
      <c r="H500" s="5" t="s">
        <v>52</v>
      </c>
      <c r="I500" s="5" t="s">
        <v>25</v>
      </c>
      <c r="J500" s="6">
        <v>5</v>
      </c>
      <c r="K500" s="5" t="s">
        <v>50</v>
      </c>
      <c r="L500" t="s">
        <v>212</v>
      </c>
      <c r="M500" t="str">
        <f>VLOOKUP(E500,Price!$A$2:$C$9,3,)</f>
        <v>$72.00</v>
      </c>
      <c r="N500">
        <f t="shared" si="45"/>
        <v>640</v>
      </c>
      <c r="O500">
        <f t="shared" si="46"/>
        <v>360</v>
      </c>
      <c r="P500">
        <f t="shared" si="47"/>
        <v>280</v>
      </c>
      <c r="Q500" s="20">
        <f>Table1[[#This Row],[Profit ]]/Table1[[#This Row],[Total Revenue]]</f>
        <v>0.4375</v>
      </c>
    </row>
    <row r="501" spans="1:17" ht="15.75" thickBot="1" x14ac:dyDescent="0.3">
      <c r="A501" s="10" t="s">
        <v>146</v>
      </c>
      <c r="B501" s="27" t="str">
        <f t="shared" si="42"/>
        <v>2026</v>
      </c>
      <c r="C501" s="27" t="str">
        <f t="shared" si="43"/>
        <v>15</v>
      </c>
      <c r="D501" s="27" t="str">
        <f t="shared" si="44"/>
        <v>Jul</v>
      </c>
      <c r="E501" s="12" t="s">
        <v>21</v>
      </c>
      <c r="F501" s="12" t="s">
        <v>62</v>
      </c>
      <c r="G501" s="8" t="s">
        <v>11</v>
      </c>
      <c r="H501" s="12" t="s">
        <v>52</v>
      </c>
      <c r="I501" s="8" t="s">
        <v>56</v>
      </c>
      <c r="J501" s="9">
        <v>4</v>
      </c>
      <c r="K501" s="8" t="s">
        <v>14</v>
      </c>
      <c r="L501" t="s">
        <v>208</v>
      </c>
      <c r="M501" t="str">
        <f>VLOOKUP(E501,Price!$A$2:$C$9,3,)</f>
        <v>$14.00</v>
      </c>
      <c r="N501">
        <f t="shared" si="45"/>
        <v>128</v>
      </c>
      <c r="O501">
        <f t="shared" si="46"/>
        <v>56</v>
      </c>
      <c r="P501">
        <f t="shared" si="47"/>
        <v>72</v>
      </c>
      <c r="Q501" s="20">
        <f>Table1[[#This Row],[Profit ]]/Table1[[#This Row],[Total Revenue]]</f>
        <v>0.5625</v>
      </c>
    </row>
    <row r="502" spans="1:17" x14ac:dyDescent="0.25">
      <c r="A502" s="37"/>
      <c r="B502" s="27"/>
      <c r="C502" s="27"/>
      <c r="D502" s="27"/>
      <c r="E502" s="38"/>
      <c r="F502" s="38"/>
      <c r="G502" s="39"/>
      <c r="H502" s="38"/>
      <c r="I502" s="39"/>
      <c r="J502" s="18"/>
      <c r="K502" s="39"/>
      <c r="L502" s="40"/>
      <c r="M502" s="40"/>
      <c r="N502" s="40">
        <f>SUM(N2:N501)</f>
        <v>355048</v>
      </c>
      <c r="O502" s="40"/>
      <c r="P502" s="40"/>
      <c r="Q502" s="41"/>
    </row>
  </sheetData>
  <conditionalFormatting sqref="K2">
    <cfRule type="colorScale" priority="1">
      <colorScale>
        <cfvo type="min"/>
        <cfvo type="percentile" val="50"/>
        <cfvo type="max"/>
        <color rgb="FFF8696B"/>
        <color rgb="FFFCFCFF"/>
        <color rgb="FF5A8AC6"/>
      </colorScale>
    </cfRule>
  </conditionalFormatting>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
  <sheetViews>
    <sheetView showGridLines="0" workbookViewId="0">
      <selection activeCell="C11" sqref="C11"/>
    </sheetView>
  </sheetViews>
  <sheetFormatPr defaultRowHeight="15" x14ac:dyDescent="0.25"/>
  <cols>
    <col min="8" max="8" width="10" customWidth="1"/>
  </cols>
  <sheetData>
    <row r="1" spans="1:11" s="54" customFormat="1" ht="15.75" thickBot="1" x14ac:dyDescent="0.3">
      <c r="A1" s="53" t="s">
        <v>1</v>
      </c>
      <c r="B1" s="53" t="s">
        <v>202</v>
      </c>
      <c r="C1" s="53" t="s">
        <v>203</v>
      </c>
      <c r="G1" s="55"/>
      <c r="H1" s="56"/>
      <c r="I1" s="56"/>
      <c r="J1" s="56"/>
      <c r="K1" s="55"/>
    </row>
    <row r="2" spans="1:11" ht="30.75" thickBot="1" x14ac:dyDescent="0.3">
      <c r="A2" s="3" t="s">
        <v>74</v>
      </c>
      <c r="B2" s="13" t="s">
        <v>204</v>
      </c>
      <c r="C2" s="13" t="s">
        <v>205</v>
      </c>
      <c r="G2" s="40"/>
      <c r="H2" s="51"/>
      <c r="I2" s="52"/>
      <c r="J2" s="52"/>
      <c r="K2" s="40"/>
    </row>
    <row r="3" spans="1:11" ht="15.75" thickBot="1" x14ac:dyDescent="0.3">
      <c r="A3" s="3" t="s">
        <v>97</v>
      </c>
      <c r="B3" s="13" t="s">
        <v>206</v>
      </c>
      <c r="C3" s="13" t="s">
        <v>207</v>
      </c>
      <c r="G3" s="40"/>
      <c r="H3" s="51"/>
      <c r="I3" s="52"/>
      <c r="J3" s="52"/>
      <c r="K3" s="40"/>
    </row>
    <row r="4" spans="1:11" ht="15.75" thickBot="1" x14ac:dyDescent="0.3">
      <c r="A4" s="3" t="s">
        <v>21</v>
      </c>
      <c r="B4" s="13" t="s">
        <v>208</v>
      </c>
      <c r="C4" s="13" t="s">
        <v>209</v>
      </c>
      <c r="G4" s="40"/>
      <c r="H4" s="51"/>
      <c r="I4" s="52"/>
      <c r="J4" s="52"/>
      <c r="K4" s="40"/>
    </row>
    <row r="5" spans="1:11" ht="15.75" thickBot="1" x14ac:dyDescent="0.3">
      <c r="A5" s="3" t="s">
        <v>80</v>
      </c>
      <c r="B5" s="13" t="s">
        <v>210</v>
      </c>
      <c r="C5" s="13" t="s">
        <v>211</v>
      </c>
      <c r="G5" s="40"/>
      <c r="H5" s="51"/>
      <c r="I5" s="52"/>
      <c r="J5" s="52"/>
      <c r="K5" s="40"/>
    </row>
    <row r="6" spans="1:11" ht="15.75" thickBot="1" x14ac:dyDescent="0.3">
      <c r="A6" s="3" t="s">
        <v>34</v>
      </c>
      <c r="B6" s="13" t="s">
        <v>212</v>
      </c>
      <c r="C6" s="13" t="s">
        <v>213</v>
      </c>
      <c r="G6" s="40"/>
      <c r="H6" s="51"/>
      <c r="I6" s="52"/>
      <c r="J6" s="52"/>
      <c r="K6" s="40"/>
    </row>
    <row r="7" spans="1:11" ht="15.75" thickBot="1" x14ac:dyDescent="0.3">
      <c r="A7" s="3" t="s">
        <v>72</v>
      </c>
      <c r="B7" s="13" t="s">
        <v>214</v>
      </c>
      <c r="C7" s="13" t="s">
        <v>215</v>
      </c>
      <c r="G7" s="40"/>
      <c r="H7" s="51"/>
      <c r="I7" s="52"/>
      <c r="J7" s="52"/>
      <c r="K7" s="40"/>
    </row>
    <row r="8" spans="1:11" ht="15.75" thickBot="1" x14ac:dyDescent="0.3">
      <c r="A8" s="3" t="s">
        <v>140</v>
      </c>
      <c r="B8" s="13" t="s">
        <v>216</v>
      </c>
      <c r="C8" s="13" t="s">
        <v>217</v>
      </c>
      <c r="G8" s="40"/>
      <c r="H8" s="51"/>
      <c r="I8" s="52"/>
      <c r="J8" s="52"/>
      <c r="K8" s="40"/>
    </row>
    <row r="9" spans="1:11" ht="15.75" thickBot="1" x14ac:dyDescent="0.3">
      <c r="A9" s="3" t="s">
        <v>118</v>
      </c>
      <c r="B9" s="13" t="s">
        <v>218</v>
      </c>
      <c r="C9" s="13" t="s">
        <v>219</v>
      </c>
      <c r="G9" s="40"/>
      <c r="H9" s="51"/>
      <c r="I9" s="52"/>
      <c r="J9" s="52"/>
      <c r="K9" s="4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C52"/>
  <sheetViews>
    <sheetView showGridLines="0" workbookViewId="0">
      <selection activeCell="N42" sqref="N42"/>
    </sheetView>
  </sheetViews>
  <sheetFormatPr defaultRowHeight="15" x14ac:dyDescent="0.25"/>
  <cols>
    <col min="1" max="1" width="5" customWidth="1"/>
    <col min="2" max="2" width="8.85546875" customWidth="1"/>
    <col min="3" max="3" width="11.28515625" bestFit="1" customWidth="1"/>
    <col min="4" max="4" width="17.85546875" bestFit="1" customWidth="1"/>
    <col min="5" max="5" width="13.7109375" bestFit="1" customWidth="1"/>
    <col min="7" max="7" width="10.5703125" bestFit="1" customWidth="1"/>
    <col min="8" max="8" width="10.7109375" customWidth="1"/>
    <col min="9" max="9" width="4.42578125" customWidth="1"/>
    <col min="10" max="10" width="6.42578125" style="31" customWidth="1"/>
    <col min="11" max="11" width="15.42578125" style="31" bestFit="1" customWidth="1"/>
    <col min="12" max="12" width="18.7109375" style="31" customWidth="1"/>
    <col min="13" max="13" width="16" style="31" customWidth="1"/>
    <col min="14" max="14" width="11.28515625" style="31" customWidth="1"/>
    <col min="15" max="15" width="14.28515625" style="31" bestFit="1" customWidth="1"/>
    <col min="16" max="16" width="11.28515625" style="31" bestFit="1" customWidth="1"/>
    <col min="17" max="18" width="4.140625" style="31" customWidth="1"/>
    <col min="19" max="19" width="4.140625" customWidth="1"/>
    <col min="20" max="20" width="5" style="31" customWidth="1"/>
    <col min="21" max="21" width="9.140625" style="31"/>
    <col min="22" max="22" width="15.42578125" customWidth="1"/>
    <col min="23" max="23" width="18.5703125" customWidth="1"/>
    <col min="24" max="25" width="5.5703125" customWidth="1"/>
    <col min="26" max="26" width="14.28515625" customWidth="1"/>
    <col min="27" max="27" width="11.28515625" customWidth="1"/>
    <col min="28" max="28" width="15.42578125" bestFit="1" customWidth="1"/>
    <col min="29" max="29" width="6" style="31" customWidth="1"/>
    <col min="30" max="30" width="15.42578125" bestFit="1" customWidth="1"/>
    <col min="31" max="31" width="25.7109375" bestFit="1" customWidth="1"/>
    <col min="32" max="32" width="20.42578125" bestFit="1" customWidth="1"/>
  </cols>
  <sheetData>
    <row r="1" spans="2:19" ht="16.5" thickBot="1" x14ac:dyDescent="0.3">
      <c r="B1" s="63" t="s">
        <v>255</v>
      </c>
      <c r="C1" s="64"/>
      <c r="D1" s="64"/>
      <c r="E1" s="64"/>
      <c r="F1" s="65"/>
      <c r="I1" s="22"/>
      <c r="J1"/>
      <c r="K1" s="69" t="s">
        <v>262</v>
      </c>
      <c r="L1" s="70"/>
      <c r="M1" s="70"/>
      <c r="N1" s="70"/>
      <c r="O1" s="71"/>
      <c r="S1" s="22"/>
    </row>
    <row r="2" spans="2:19" ht="15.75" x14ac:dyDescent="0.25">
      <c r="B2" s="35"/>
      <c r="C2" s="35"/>
      <c r="D2" s="35"/>
      <c r="E2" s="35"/>
      <c r="I2" s="22"/>
      <c r="J2"/>
      <c r="K2" s="44"/>
      <c r="L2" s="44"/>
      <c r="M2" s="34"/>
      <c r="S2" s="22"/>
    </row>
    <row r="3" spans="2:19" x14ac:dyDescent="0.25">
      <c r="B3" t="s">
        <v>230</v>
      </c>
      <c r="C3" t="s">
        <v>252</v>
      </c>
      <c r="D3" t="s">
        <v>253</v>
      </c>
      <c r="E3" t="s">
        <v>256</v>
      </c>
      <c r="I3" s="22"/>
      <c r="J3"/>
      <c r="K3" s="23" t="s">
        <v>1</v>
      </c>
      <c r="L3" t="s">
        <v>252</v>
      </c>
      <c r="M3" t="s">
        <v>261</v>
      </c>
      <c r="S3" s="22"/>
    </row>
    <row r="4" spans="2:19" x14ac:dyDescent="0.25">
      <c r="B4" s="33">
        <v>355048</v>
      </c>
      <c r="C4" s="33">
        <v>162335</v>
      </c>
      <c r="D4" s="21">
        <v>0.47075624043493502</v>
      </c>
      <c r="E4" s="30">
        <v>4012</v>
      </c>
      <c r="I4" s="22"/>
      <c r="J4"/>
      <c r="K4" s="24" t="s">
        <v>21</v>
      </c>
      <c r="L4" s="33">
        <v>9396</v>
      </c>
      <c r="M4" s="45">
        <v>0.5625</v>
      </c>
      <c r="S4" s="22"/>
    </row>
    <row r="5" spans="2:19" x14ac:dyDescent="0.25">
      <c r="I5" s="22"/>
      <c r="J5"/>
      <c r="K5" s="24" t="s">
        <v>80</v>
      </c>
      <c r="L5" s="33">
        <v>19980</v>
      </c>
      <c r="M5" s="45">
        <v>0.48684210526315791</v>
      </c>
      <c r="S5" s="22"/>
    </row>
    <row r="6" spans="2:19" x14ac:dyDescent="0.25">
      <c r="I6" s="22"/>
      <c r="J6"/>
      <c r="K6" s="24" t="s">
        <v>97</v>
      </c>
      <c r="L6" s="33">
        <v>11778</v>
      </c>
      <c r="M6" s="45">
        <v>0.48148148148148145</v>
      </c>
      <c r="S6" s="22"/>
    </row>
    <row r="7" spans="2:19" x14ac:dyDescent="0.25">
      <c r="I7" s="22"/>
      <c r="J7"/>
      <c r="K7" s="24" t="s">
        <v>74</v>
      </c>
      <c r="L7" s="33">
        <v>24150</v>
      </c>
      <c r="M7" s="45">
        <v>0.47191011235955055</v>
      </c>
      <c r="S7" s="22"/>
    </row>
    <row r="8" spans="2:19" x14ac:dyDescent="0.25">
      <c r="I8" s="22"/>
      <c r="J8"/>
      <c r="K8" s="24" t="s">
        <v>72</v>
      </c>
      <c r="L8" s="33">
        <v>26367</v>
      </c>
      <c r="M8" s="45">
        <v>0.44761904761904764</v>
      </c>
      <c r="S8" s="22"/>
    </row>
    <row r="9" spans="2:19" x14ac:dyDescent="0.25">
      <c r="I9" s="22"/>
      <c r="J9"/>
      <c r="K9" s="24" t="s">
        <v>34</v>
      </c>
      <c r="L9" s="33">
        <v>27776</v>
      </c>
      <c r="M9" s="45">
        <v>0.4375</v>
      </c>
      <c r="S9" s="22"/>
    </row>
    <row r="10" spans="2:19" x14ac:dyDescent="0.25">
      <c r="I10" s="22"/>
      <c r="J10"/>
      <c r="K10" s="24" t="s">
        <v>118</v>
      </c>
      <c r="L10" s="33">
        <v>17784</v>
      </c>
      <c r="M10" s="45">
        <v>0.43697478991596639</v>
      </c>
      <c r="S10" s="22"/>
    </row>
    <row r="11" spans="2:19" x14ac:dyDescent="0.25">
      <c r="I11" s="22"/>
      <c r="J11"/>
      <c r="K11" s="24" t="s">
        <v>140</v>
      </c>
      <c r="L11" s="33">
        <v>25104</v>
      </c>
      <c r="M11" s="45">
        <v>0.42857142857142855</v>
      </c>
      <c r="S11" s="22"/>
    </row>
    <row r="12" spans="2:19" x14ac:dyDescent="0.25">
      <c r="B12" s="59" t="s">
        <v>257</v>
      </c>
      <c r="C12" s="60"/>
      <c r="D12" s="59" t="s">
        <v>258</v>
      </c>
      <c r="E12" s="59" t="s">
        <v>259</v>
      </c>
      <c r="F12" s="60"/>
      <c r="G12" s="59" t="s">
        <v>260</v>
      </c>
      <c r="I12" s="22"/>
      <c r="J12"/>
      <c r="K12" s="24" t="s">
        <v>234</v>
      </c>
      <c r="L12" s="33">
        <v>162335</v>
      </c>
      <c r="M12" s="45">
        <v>0.45721986886280164</v>
      </c>
      <c r="S12" s="22"/>
    </row>
    <row r="13" spans="2:19" x14ac:dyDescent="0.25">
      <c r="I13" s="22"/>
      <c r="J13"/>
      <c r="K13"/>
      <c r="L13"/>
      <c r="M13"/>
      <c r="S13" s="22"/>
    </row>
    <row r="14" spans="2:19" x14ac:dyDescent="0.25">
      <c r="I14" s="22"/>
      <c r="J14"/>
      <c r="K14"/>
      <c r="L14"/>
      <c r="M14"/>
      <c r="S14" s="22"/>
    </row>
    <row r="15" spans="2:19" ht="15.75" thickBot="1" x14ac:dyDescent="0.3">
      <c r="I15" s="22"/>
      <c r="J15"/>
      <c r="K15"/>
      <c r="L15"/>
      <c r="M15"/>
      <c r="S15" s="22"/>
    </row>
    <row r="16" spans="2:19" ht="16.5" thickBot="1" x14ac:dyDescent="0.3">
      <c r="B16" s="63" t="s">
        <v>254</v>
      </c>
      <c r="C16" s="64"/>
      <c r="D16" s="64"/>
      <c r="E16" s="64"/>
      <c r="F16" s="65"/>
      <c r="I16" s="22"/>
      <c r="J16"/>
      <c r="K16" s="72" t="s">
        <v>263</v>
      </c>
      <c r="L16" s="73"/>
      <c r="M16" s="73"/>
      <c r="N16" s="73"/>
      <c r="O16" s="74"/>
      <c r="S16" s="22"/>
    </row>
    <row r="17" spans="2:19" x14ac:dyDescent="0.25">
      <c r="I17" s="22"/>
      <c r="K17"/>
      <c r="L17" s="46"/>
      <c r="M17" s="46"/>
      <c r="N17" s="46"/>
      <c r="S17" s="22"/>
    </row>
    <row r="18" spans="2:19" x14ac:dyDescent="0.25">
      <c r="B18" s="23" t="s">
        <v>0</v>
      </c>
      <c r="C18" t="s">
        <v>230</v>
      </c>
      <c r="D18" t="s">
        <v>252</v>
      </c>
      <c r="I18" s="22"/>
      <c r="K18" s="23" t="s">
        <v>2</v>
      </c>
      <c r="L18" t="s">
        <v>230</v>
      </c>
      <c r="M18" t="s">
        <v>252</v>
      </c>
      <c r="S18" s="22"/>
    </row>
    <row r="19" spans="2:19" x14ac:dyDescent="0.25">
      <c r="B19" s="24" t="s">
        <v>243</v>
      </c>
      <c r="C19" s="33">
        <v>26803</v>
      </c>
      <c r="D19" s="33">
        <v>12480</v>
      </c>
      <c r="I19" s="22"/>
      <c r="K19" s="24" t="s">
        <v>62</v>
      </c>
      <c r="L19" s="33">
        <v>82917</v>
      </c>
      <c r="M19" s="33">
        <v>37753</v>
      </c>
      <c r="S19" s="22"/>
    </row>
    <row r="20" spans="2:19" x14ac:dyDescent="0.25">
      <c r="B20" s="24" t="s">
        <v>247</v>
      </c>
      <c r="C20" s="33">
        <v>24097</v>
      </c>
      <c r="D20" s="33">
        <v>11060</v>
      </c>
      <c r="I20" s="22"/>
      <c r="K20" s="24" t="s">
        <v>10</v>
      </c>
      <c r="L20" s="33">
        <v>179935</v>
      </c>
      <c r="M20" s="33">
        <v>82274</v>
      </c>
      <c r="S20" s="22"/>
    </row>
    <row r="21" spans="2:19" x14ac:dyDescent="0.25">
      <c r="B21" s="24" t="s">
        <v>244</v>
      </c>
      <c r="C21" s="33">
        <v>27137</v>
      </c>
      <c r="D21" s="33">
        <v>12364</v>
      </c>
      <c r="I21" s="22"/>
      <c r="K21" s="24" t="s">
        <v>90</v>
      </c>
      <c r="L21" s="33">
        <v>53035</v>
      </c>
      <c r="M21" s="33">
        <v>24172</v>
      </c>
      <c r="S21" s="22"/>
    </row>
    <row r="22" spans="2:19" x14ac:dyDescent="0.25">
      <c r="B22" s="24" t="s">
        <v>241</v>
      </c>
      <c r="C22" s="33">
        <v>28019</v>
      </c>
      <c r="D22" s="33">
        <v>12679</v>
      </c>
      <c r="I22" s="22"/>
      <c r="K22" s="24" t="s">
        <v>35</v>
      </c>
      <c r="L22" s="33">
        <v>39161</v>
      </c>
      <c r="M22" s="33">
        <v>18136</v>
      </c>
      <c r="S22" s="22"/>
    </row>
    <row r="23" spans="2:19" x14ac:dyDescent="0.25">
      <c r="B23" s="24" t="s">
        <v>238</v>
      </c>
      <c r="C23" s="33">
        <v>27142</v>
      </c>
      <c r="D23" s="33">
        <v>12359</v>
      </c>
      <c r="I23" s="22"/>
      <c r="K23" s="24" t="s">
        <v>234</v>
      </c>
      <c r="L23" s="33">
        <v>355048</v>
      </c>
      <c r="M23" s="33">
        <v>162335</v>
      </c>
      <c r="S23" s="22"/>
    </row>
    <row r="24" spans="2:19" x14ac:dyDescent="0.25">
      <c r="B24" s="24" t="s">
        <v>239</v>
      </c>
      <c r="C24" s="33">
        <v>38635</v>
      </c>
      <c r="D24" s="33">
        <v>17665</v>
      </c>
      <c r="I24" s="22"/>
      <c r="S24" s="22"/>
    </row>
    <row r="25" spans="2:19" x14ac:dyDescent="0.25">
      <c r="B25" s="24" t="s">
        <v>246</v>
      </c>
      <c r="C25" s="33">
        <v>34791</v>
      </c>
      <c r="D25" s="33">
        <v>15786</v>
      </c>
      <c r="I25" s="22"/>
      <c r="S25" s="22"/>
    </row>
    <row r="26" spans="2:19" ht="15.75" thickBot="1" x14ac:dyDescent="0.3">
      <c r="B26" s="24" t="s">
        <v>248</v>
      </c>
      <c r="C26" s="33">
        <v>1341</v>
      </c>
      <c r="D26" s="33">
        <v>594</v>
      </c>
      <c r="I26" s="22"/>
      <c r="S26" s="22"/>
    </row>
    <row r="27" spans="2:19" ht="15.75" thickBot="1" x14ac:dyDescent="0.3">
      <c r="B27" s="24" t="s">
        <v>249</v>
      </c>
      <c r="C27" s="33">
        <v>1493</v>
      </c>
      <c r="D27" s="33">
        <v>667</v>
      </c>
      <c r="I27" s="22"/>
      <c r="K27" s="66" t="s">
        <v>264</v>
      </c>
      <c r="L27" s="67"/>
      <c r="M27" s="67"/>
      <c r="N27" s="67"/>
      <c r="O27" s="68"/>
      <c r="S27" s="22"/>
    </row>
    <row r="28" spans="2:19" x14ac:dyDescent="0.25">
      <c r="B28" s="24" t="s">
        <v>245</v>
      </c>
      <c r="C28" s="33">
        <v>42974</v>
      </c>
      <c r="D28" s="33">
        <v>19633</v>
      </c>
      <c r="I28" s="22"/>
      <c r="K28"/>
      <c r="L28" s="36"/>
      <c r="M28" s="36"/>
      <c r="N28" s="36"/>
      <c r="S28" s="22"/>
    </row>
    <row r="29" spans="2:19" x14ac:dyDescent="0.25">
      <c r="B29" s="24" t="s">
        <v>240</v>
      </c>
      <c r="C29" s="33">
        <v>55985</v>
      </c>
      <c r="D29" s="33">
        <v>25778</v>
      </c>
      <c r="I29" s="22"/>
      <c r="K29" s="23" t="s">
        <v>4</v>
      </c>
      <c r="L29" t="s">
        <v>230</v>
      </c>
      <c r="M29" t="s">
        <v>265</v>
      </c>
      <c r="S29" s="22"/>
    </row>
    <row r="30" spans="2:19" x14ac:dyDescent="0.25">
      <c r="B30" s="24" t="s">
        <v>242</v>
      </c>
      <c r="C30" s="33">
        <v>46631</v>
      </c>
      <c r="D30" s="33">
        <v>21270</v>
      </c>
      <c r="I30" s="22"/>
      <c r="K30" s="24" t="s">
        <v>62</v>
      </c>
      <c r="L30" s="33">
        <v>82917</v>
      </c>
      <c r="M30" s="33">
        <v>37753</v>
      </c>
      <c r="S30" s="22"/>
    </row>
    <row r="31" spans="2:19" x14ac:dyDescent="0.25">
      <c r="B31" s="24" t="s">
        <v>234</v>
      </c>
      <c r="C31" s="33">
        <v>355048</v>
      </c>
      <c r="D31" s="33">
        <v>162335</v>
      </c>
      <c r="I31" s="22"/>
      <c r="K31" s="24" t="s">
        <v>10</v>
      </c>
      <c r="L31" s="33">
        <v>179935</v>
      </c>
      <c r="M31" s="33">
        <v>82274</v>
      </c>
      <c r="S31" s="22"/>
    </row>
    <row r="32" spans="2:19" x14ac:dyDescent="0.25">
      <c r="I32" s="22"/>
      <c r="K32" s="24" t="s">
        <v>90</v>
      </c>
      <c r="L32" s="33">
        <v>53035</v>
      </c>
      <c r="M32" s="33">
        <v>24172</v>
      </c>
      <c r="S32" s="22"/>
    </row>
    <row r="33" spans="2:19" x14ac:dyDescent="0.25">
      <c r="I33" s="22"/>
      <c r="K33" s="24" t="s">
        <v>35</v>
      </c>
      <c r="L33" s="33">
        <v>39161</v>
      </c>
      <c r="M33" s="33">
        <v>18136</v>
      </c>
      <c r="S33" s="22"/>
    </row>
    <row r="34" spans="2:19" ht="15.75" thickBot="1" x14ac:dyDescent="0.3">
      <c r="I34" s="22"/>
      <c r="K34" s="24" t="s">
        <v>234</v>
      </c>
      <c r="L34" s="33">
        <v>355048</v>
      </c>
      <c r="M34" s="33">
        <v>162335</v>
      </c>
      <c r="S34" s="22"/>
    </row>
    <row r="35" spans="2:19" ht="15.75" thickBot="1" x14ac:dyDescent="0.3">
      <c r="B35" s="66" t="s">
        <v>250</v>
      </c>
      <c r="C35" s="67"/>
      <c r="D35" s="67"/>
      <c r="E35" s="67"/>
      <c r="F35" s="68"/>
      <c r="I35" s="22"/>
      <c r="K35"/>
      <c r="L35" s="24"/>
      <c r="M35" s="33"/>
      <c r="N35" s="33"/>
      <c r="S35" s="22"/>
    </row>
    <row r="36" spans="2:19" x14ac:dyDescent="0.25">
      <c r="B36" s="43"/>
      <c r="C36" s="43"/>
      <c r="I36" s="22"/>
      <c r="K36"/>
      <c r="L36"/>
      <c r="M36"/>
      <c r="N36"/>
      <c r="S36" s="22"/>
    </row>
    <row r="37" spans="2:19" ht="15.75" thickBot="1" x14ac:dyDescent="0.3">
      <c r="B37" s="23" t="s">
        <v>1</v>
      </c>
      <c r="C37" s="32" t="s">
        <v>230</v>
      </c>
      <c r="I37" s="22"/>
      <c r="K37"/>
      <c r="L37"/>
      <c r="M37"/>
      <c r="N37"/>
      <c r="S37" s="22"/>
    </row>
    <row r="38" spans="2:19" ht="15.75" thickBot="1" x14ac:dyDescent="0.3">
      <c r="B38" s="24" t="s">
        <v>21</v>
      </c>
      <c r="C38" s="33">
        <v>16704</v>
      </c>
      <c r="I38" s="22"/>
      <c r="K38" s="66" t="s">
        <v>268</v>
      </c>
      <c r="L38" s="67"/>
      <c r="M38" s="67"/>
      <c r="N38" s="67"/>
      <c r="O38" s="68"/>
      <c r="S38" s="22"/>
    </row>
    <row r="39" spans="2:19" x14ac:dyDescent="0.25">
      <c r="B39" s="24" t="s">
        <v>97</v>
      </c>
      <c r="C39" s="33">
        <v>24462</v>
      </c>
      <c r="I39" s="22"/>
      <c r="K39" s="62"/>
      <c r="L39" s="62"/>
      <c r="M39"/>
      <c r="N39"/>
      <c r="O39"/>
      <c r="P39"/>
      <c r="S39" s="22"/>
    </row>
    <row r="40" spans="2:19" x14ac:dyDescent="0.25">
      <c r="B40" s="24" t="s">
        <v>118</v>
      </c>
      <c r="C40" s="33">
        <v>40698</v>
      </c>
      <c r="I40" s="22"/>
      <c r="K40" s="36"/>
      <c r="L40" s="36"/>
      <c r="M40"/>
      <c r="N40"/>
      <c r="O40"/>
      <c r="P40"/>
      <c r="S40" s="22"/>
    </row>
    <row r="41" spans="2:19" x14ac:dyDescent="0.25">
      <c r="B41" s="24" t="s">
        <v>80</v>
      </c>
      <c r="C41" s="33">
        <v>41040</v>
      </c>
      <c r="I41" s="22"/>
      <c r="K41" s="48" t="s">
        <v>233</v>
      </c>
      <c r="L41" s="48" t="s">
        <v>266</v>
      </c>
      <c r="M41" s="49"/>
      <c r="N41" s="49"/>
      <c r="O41" s="49"/>
      <c r="P41" s="49"/>
      <c r="S41" s="22"/>
    </row>
    <row r="42" spans="2:19" x14ac:dyDescent="0.25">
      <c r="B42" s="24" t="s">
        <v>74</v>
      </c>
      <c r="C42" s="33">
        <v>51175</v>
      </c>
      <c r="I42" s="22"/>
      <c r="K42" s="48" t="s">
        <v>1</v>
      </c>
      <c r="L42" s="49" t="s">
        <v>14</v>
      </c>
      <c r="M42" s="49" t="s">
        <v>19</v>
      </c>
      <c r="N42" s="49" t="s">
        <v>42</v>
      </c>
      <c r="O42" s="49" t="s">
        <v>50</v>
      </c>
      <c r="P42" s="49" t="s">
        <v>234</v>
      </c>
      <c r="S42" s="22"/>
    </row>
    <row r="43" spans="2:19" x14ac:dyDescent="0.25">
      <c r="B43" s="24" t="s">
        <v>140</v>
      </c>
      <c r="C43" s="33">
        <v>58576</v>
      </c>
      <c r="I43" s="22"/>
      <c r="K43" s="24" t="s">
        <v>80</v>
      </c>
      <c r="L43" s="47">
        <v>145</v>
      </c>
      <c r="M43" s="47">
        <v>155</v>
      </c>
      <c r="N43" s="47">
        <v>110</v>
      </c>
      <c r="O43" s="47">
        <v>130</v>
      </c>
      <c r="P43" s="47">
        <v>540</v>
      </c>
      <c r="S43" s="22"/>
    </row>
    <row r="44" spans="2:19" x14ac:dyDescent="0.25">
      <c r="B44" s="24" t="s">
        <v>72</v>
      </c>
      <c r="C44" s="33">
        <v>58905</v>
      </c>
      <c r="I44" s="22"/>
      <c r="K44" s="24" t="s">
        <v>140</v>
      </c>
      <c r="L44" s="47">
        <v>155</v>
      </c>
      <c r="M44" s="47">
        <v>122</v>
      </c>
      <c r="N44" s="47">
        <v>126</v>
      </c>
      <c r="O44" s="47">
        <v>120</v>
      </c>
      <c r="P44" s="47">
        <v>523</v>
      </c>
      <c r="S44" s="22"/>
    </row>
    <row r="45" spans="2:19" x14ac:dyDescent="0.25">
      <c r="B45" s="24" t="s">
        <v>34</v>
      </c>
      <c r="C45" s="33">
        <v>63488</v>
      </c>
      <c r="I45" s="22"/>
      <c r="K45" s="24" t="s">
        <v>34</v>
      </c>
      <c r="L45" s="47">
        <v>174</v>
      </c>
      <c r="M45" s="47">
        <v>123</v>
      </c>
      <c r="N45" s="47">
        <v>148</v>
      </c>
      <c r="O45" s="47">
        <v>51</v>
      </c>
      <c r="P45" s="47">
        <v>496</v>
      </c>
      <c r="S45" s="22"/>
    </row>
    <row r="46" spans="2:19" x14ac:dyDescent="0.25">
      <c r="B46" s="24" t="s">
        <v>234</v>
      </c>
      <c r="C46" s="33">
        <v>355048</v>
      </c>
      <c r="I46" s="22"/>
      <c r="K46" s="24" t="s">
        <v>21</v>
      </c>
      <c r="L46" s="47">
        <v>114</v>
      </c>
      <c r="M46" s="47">
        <v>155</v>
      </c>
      <c r="N46" s="47">
        <v>143</v>
      </c>
      <c r="O46" s="47">
        <v>110</v>
      </c>
      <c r="P46" s="47">
        <v>522</v>
      </c>
      <c r="S46" s="22"/>
    </row>
    <row r="47" spans="2:19" x14ac:dyDescent="0.25">
      <c r="I47" s="22"/>
      <c r="K47" s="24" t="s">
        <v>97</v>
      </c>
      <c r="L47" s="47">
        <v>149</v>
      </c>
      <c r="M47" s="47">
        <v>82</v>
      </c>
      <c r="N47" s="47">
        <v>100</v>
      </c>
      <c r="O47" s="47">
        <v>122</v>
      </c>
      <c r="P47" s="47">
        <v>453</v>
      </c>
      <c r="S47" s="22"/>
    </row>
    <row r="48" spans="2:19" x14ac:dyDescent="0.25">
      <c r="I48" s="22"/>
      <c r="K48" s="24" t="s">
        <v>74</v>
      </c>
      <c r="L48" s="47">
        <v>97</v>
      </c>
      <c r="M48" s="47">
        <v>156</v>
      </c>
      <c r="N48" s="47">
        <v>199</v>
      </c>
      <c r="O48" s="47">
        <v>123</v>
      </c>
      <c r="P48" s="47">
        <v>575</v>
      </c>
      <c r="S48" s="22"/>
    </row>
    <row r="49" spans="9:19" x14ac:dyDescent="0.25">
      <c r="I49" s="22"/>
      <c r="K49" s="24" t="s">
        <v>72</v>
      </c>
      <c r="L49" s="47">
        <v>125</v>
      </c>
      <c r="M49" s="47">
        <v>192</v>
      </c>
      <c r="N49" s="47">
        <v>150</v>
      </c>
      <c r="O49" s="47">
        <v>94</v>
      </c>
      <c r="P49" s="47">
        <v>561</v>
      </c>
      <c r="S49" s="22"/>
    </row>
    <row r="50" spans="9:19" x14ac:dyDescent="0.25">
      <c r="I50" s="22"/>
      <c r="K50" s="24" t="s">
        <v>118</v>
      </c>
      <c r="L50" s="47">
        <v>84</v>
      </c>
      <c r="M50" s="47">
        <v>123</v>
      </c>
      <c r="N50" s="47">
        <v>73</v>
      </c>
      <c r="O50" s="47">
        <v>62</v>
      </c>
      <c r="P50" s="47">
        <v>342</v>
      </c>
      <c r="S50" s="22"/>
    </row>
    <row r="51" spans="9:19" x14ac:dyDescent="0.25">
      <c r="I51" s="22"/>
      <c r="K51" s="24" t="s">
        <v>234</v>
      </c>
      <c r="L51" s="47">
        <v>1043</v>
      </c>
      <c r="M51" s="47">
        <v>1108</v>
      </c>
      <c r="N51" s="47">
        <v>1049</v>
      </c>
      <c r="O51" s="47">
        <v>812</v>
      </c>
      <c r="P51" s="47">
        <v>4012</v>
      </c>
      <c r="S51" s="22"/>
    </row>
    <row r="52" spans="9:19" x14ac:dyDescent="0.25">
      <c r="I52" s="22"/>
      <c r="K52"/>
      <c r="L52"/>
      <c r="M52"/>
      <c r="N52"/>
      <c r="O52"/>
      <c r="P52"/>
      <c r="S52" s="22"/>
    </row>
  </sheetData>
  <mergeCells count="8">
    <mergeCell ref="K39:L39"/>
    <mergeCell ref="B1:F1"/>
    <mergeCell ref="B16:F16"/>
    <mergeCell ref="B35:F35"/>
    <mergeCell ref="K1:O1"/>
    <mergeCell ref="K16:O16"/>
    <mergeCell ref="K27:O27"/>
    <mergeCell ref="K38:O38"/>
  </mergeCells>
  <pageMargins left="0.7" right="0.7" top="0.75" bottom="0.75" header="0.3" footer="0.3"/>
  <pageSetup orientation="portrait" r:id="rId8"/>
  <drawing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P70"/>
  <sheetViews>
    <sheetView topLeftCell="A45" workbookViewId="0">
      <selection activeCell="L56" sqref="L56:P56"/>
    </sheetView>
  </sheetViews>
  <sheetFormatPr defaultRowHeight="15" x14ac:dyDescent="0.25"/>
  <cols>
    <col min="9" max="9" width="14.140625" customWidth="1"/>
    <col min="10" max="10" width="4.7109375" customWidth="1"/>
  </cols>
  <sheetData>
    <row r="1" spans="2:16" ht="15.75" thickBot="1" x14ac:dyDescent="0.3">
      <c r="J1" s="58"/>
    </row>
    <row r="2" spans="2:16" ht="16.5" thickBot="1" x14ac:dyDescent="0.3">
      <c r="B2" s="63" t="s">
        <v>255</v>
      </c>
      <c r="C2" s="64"/>
      <c r="D2" s="64"/>
      <c r="E2" s="64"/>
      <c r="F2" s="65"/>
      <c r="J2" s="58"/>
      <c r="L2" s="75" t="s">
        <v>262</v>
      </c>
      <c r="M2" s="76"/>
      <c r="N2" s="76"/>
      <c r="O2" s="76"/>
      <c r="P2" s="77"/>
    </row>
    <row r="3" spans="2:16" x14ac:dyDescent="0.25">
      <c r="J3" s="58"/>
    </row>
    <row r="4" spans="2:16" x14ac:dyDescent="0.25">
      <c r="J4" s="58"/>
    </row>
    <row r="5" spans="2:16" x14ac:dyDescent="0.25">
      <c r="J5" s="58"/>
    </row>
    <row r="6" spans="2:16" x14ac:dyDescent="0.25">
      <c r="J6" s="58"/>
    </row>
    <row r="7" spans="2:16" x14ac:dyDescent="0.25">
      <c r="J7" s="58"/>
    </row>
    <row r="8" spans="2:16" x14ac:dyDescent="0.25">
      <c r="B8" s="42" t="s">
        <v>257</v>
      </c>
      <c r="D8" s="42" t="s">
        <v>258</v>
      </c>
      <c r="F8" s="42" t="s">
        <v>259</v>
      </c>
      <c r="H8" s="42" t="s">
        <v>260</v>
      </c>
      <c r="J8" s="58"/>
    </row>
    <row r="9" spans="2:16" x14ac:dyDescent="0.25">
      <c r="J9" s="58"/>
    </row>
    <row r="10" spans="2:16" x14ac:dyDescent="0.25">
      <c r="J10" s="58"/>
    </row>
    <row r="11" spans="2:16" ht="15.75" thickBot="1" x14ac:dyDescent="0.3">
      <c r="J11" s="58"/>
    </row>
    <row r="12" spans="2:16" ht="16.5" thickBot="1" x14ac:dyDescent="0.3">
      <c r="B12" s="63" t="s">
        <v>254</v>
      </c>
      <c r="C12" s="64"/>
      <c r="D12" s="64"/>
      <c r="E12" s="64"/>
      <c r="F12" s="65"/>
      <c r="J12" s="58"/>
    </row>
    <row r="13" spans="2:16" x14ac:dyDescent="0.25">
      <c r="J13" s="58"/>
    </row>
    <row r="14" spans="2:16" x14ac:dyDescent="0.25">
      <c r="J14" s="58"/>
    </row>
    <row r="15" spans="2:16" x14ac:dyDescent="0.25">
      <c r="J15" s="58"/>
    </row>
    <row r="16" spans="2:16" x14ac:dyDescent="0.25">
      <c r="J16" s="58"/>
    </row>
    <row r="17" spans="2:16" x14ac:dyDescent="0.25">
      <c r="J17" s="58"/>
    </row>
    <row r="18" spans="2:16" x14ac:dyDescent="0.25">
      <c r="J18" s="58"/>
    </row>
    <row r="19" spans="2:16" ht="15.75" thickBot="1" x14ac:dyDescent="0.3">
      <c r="J19" s="58"/>
    </row>
    <row r="20" spans="2:16" ht="15" customHeight="1" thickBot="1" x14ac:dyDescent="0.3">
      <c r="J20" s="58"/>
      <c r="L20" s="72" t="s">
        <v>263</v>
      </c>
      <c r="M20" s="73"/>
      <c r="N20" s="73"/>
      <c r="O20" s="73"/>
      <c r="P20" s="74"/>
    </row>
    <row r="21" spans="2:16" x14ac:dyDescent="0.25">
      <c r="J21" s="58"/>
    </row>
    <row r="22" spans="2:16" x14ac:dyDescent="0.25">
      <c r="J22" s="58"/>
    </row>
    <row r="23" spans="2:16" x14ac:dyDescent="0.25">
      <c r="J23" s="58"/>
    </row>
    <row r="24" spans="2:16" x14ac:dyDescent="0.25">
      <c r="J24" s="58"/>
    </row>
    <row r="25" spans="2:16" x14ac:dyDescent="0.25">
      <c r="J25" s="58"/>
    </row>
    <row r="26" spans="2:16" x14ac:dyDescent="0.25">
      <c r="J26" s="58"/>
    </row>
    <row r="27" spans="2:16" x14ac:dyDescent="0.25">
      <c r="J27" s="58"/>
    </row>
    <row r="28" spans="2:16" x14ac:dyDescent="0.25">
      <c r="J28" s="58"/>
    </row>
    <row r="29" spans="2:16" ht="15.75" thickBot="1" x14ac:dyDescent="0.3">
      <c r="J29" s="58"/>
    </row>
    <row r="30" spans="2:16" ht="15.75" thickBot="1" x14ac:dyDescent="0.3">
      <c r="B30" s="66" t="s">
        <v>250</v>
      </c>
      <c r="C30" s="67"/>
      <c r="D30" s="67"/>
      <c r="E30" s="67"/>
      <c r="F30" s="68"/>
      <c r="J30" s="58"/>
    </row>
    <row r="31" spans="2:16" x14ac:dyDescent="0.25">
      <c r="J31" s="58"/>
    </row>
    <row r="32" spans="2:16" x14ac:dyDescent="0.25">
      <c r="J32" s="58"/>
    </row>
    <row r="33" spans="2:16" x14ac:dyDescent="0.25">
      <c r="J33" s="58"/>
    </row>
    <row r="34" spans="2:16" x14ac:dyDescent="0.25">
      <c r="J34" s="58"/>
    </row>
    <row r="35" spans="2:16" x14ac:dyDescent="0.25">
      <c r="J35" s="58"/>
    </row>
    <row r="36" spans="2:16" x14ac:dyDescent="0.25">
      <c r="J36" s="58"/>
    </row>
    <row r="37" spans="2:16" ht="15.75" thickBot="1" x14ac:dyDescent="0.3">
      <c r="J37" s="58"/>
    </row>
    <row r="38" spans="2:16" ht="15.75" thickBot="1" x14ac:dyDescent="0.3">
      <c r="I38" s="24"/>
      <c r="J38" s="58"/>
      <c r="L38" s="66" t="s">
        <v>264</v>
      </c>
      <c r="M38" s="67"/>
      <c r="N38" s="67"/>
      <c r="O38" s="67"/>
      <c r="P38" s="68"/>
    </row>
    <row r="39" spans="2:16" x14ac:dyDescent="0.25">
      <c r="J39" s="58"/>
    </row>
    <row r="40" spans="2:16" x14ac:dyDescent="0.25">
      <c r="J40" s="58"/>
    </row>
    <row r="41" spans="2:16" x14ac:dyDescent="0.25">
      <c r="J41" s="58"/>
    </row>
    <row r="42" spans="2:16" x14ac:dyDescent="0.25">
      <c r="J42" s="58"/>
    </row>
    <row r="43" spans="2:16" x14ac:dyDescent="0.25">
      <c r="J43" s="58"/>
    </row>
    <row r="44" spans="2:16" x14ac:dyDescent="0.25">
      <c r="J44" s="58"/>
    </row>
    <row r="45" spans="2:16" x14ac:dyDescent="0.25">
      <c r="J45" s="58"/>
    </row>
    <row r="46" spans="2:16" x14ac:dyDescent="0.25">
      <c r="J46" s="58"/>
    </row>
    <row r="47" spans="2:16" ht="15.75" thickBot="1" x14ac:dyDescent="0.3">
      <c r="J47" s="58"/>
    </row>
    <row r="48" spans="2:16" ht="15.75" thickBot="1" x14ac:dyDescent="0.3">
      <c r="B48" s="66" t="s">
        <v>250</v>
      </c>
      <c r="C48" s="67"/>
      <c r="D48" s="67"/>
      <c r="E48" s="67"/>
      <c r="F48" s="68"/>
      <c r="J48" s="58"/>
    </row>
    <row r="49" spans="10:16" x14ac:dyDescent="0.25">
      <c r="J49" s="58"/>
    </row>
    <row r="50" spans="10:16" x14ac:dyDescent="0.25">
      <c r="J50" s="58"/>
    </row>
    <row r="51" spans="10:16" x14ac:dyDescent="0.25">
      <c r="J51" s="58"/>
    </row>
    <row r="52" spans="10:16" x14ac:dyDescent="0.25">
      <c r="J52" s="58"/>
    </row>
    <row r="53" spans="10:16" x14ac:dyDescent="0.25">
      <c r="J53" s="58"/>
    </row>
    <row r="54" spans="10:16" x14ac:dyDescent="0.25">
      <c r="J54" s="58"/>
    </row>
    <row r="55" spans="10:16" ht="15.75" thickBot="1" x14ac:dyDescent="0.3">
      <c r="J55" s="58"/>
    </row>
    <row r="56" spans="10:16" ht="15.75" thickBot="1" x14ac:dyDescent="0.3">
      <c r="J56" s="58"/>
      <c r="L56" s="66" t="s">
        <v>268</v>
      </c>
      <c r="M56" s="67"/>
      <c r="N56" s="67"/>
      <c r="O56" s="67"/>
      <c r="P56" s="68"/>
    </row>
    <row r="57" spans="10:16" x14ac:dyDescent="0.25">
      <c r="J57" s="58"/>
    </row>
    <row r="58" spans="10:16" x14ac:dyDescent="0.25">
      <c r="J58" s="58"/>
    </row>
    <row r="59" spans="10:16" x14ac:dyDescent="0.25">
      <c r="J59" s="58"/>
    </row>
    <row r="60" spans="10:16" x14ac:dyDescent="0.25">
      <c r="J60" s="58"/>
    </row>
    <row r="61" spans="10:16" x14ac:dyDescent="0.25">
      <c r="J61" s="58"/>
    </row>
    <row r="62" spans="10:16" x14ac:dyDescent="0.25">
      <c r="J62" s="58"/>
    </row>
    <row r="63" spans="10:16" x14ac:dyDescent="0.25">
      <c r="J63" s="58"/>
    </row>
    <row r="64" spans="10:16" x14ac:dyDescent="0.25">
      <c r="J64" s="58"/>
    </row>
    <row r="65" spans="10:10" x14ac:dyDescent="0.25">
      <c r="J65" s="58"/>
    </row>
    <row r="66" spans="10:10" x14ac:dyDescent="0.25">
      <c r="J66" s="58"/>
    </row>
    <row r="67" spans="10:10" x14ac:dyDescent="0.25">
      <c r="J67" s="58"/>
    </row>
    <row r="68" spans="10:10" x14ac:dyDescent="0.25">
      <c r="J68" s="58"/>
    </row>
    <row r="69" spans="10:10" x14ac:dyDescent="0.25">
      <c r="J69" s="58"/>
    </row>
    <row r="70" spans="10:10" x14ac:dyDescent="0.25">
      <c r="J70" s="58"/>
    </row>
  </sheetData>
  <mergeCells count="8">
    <mergeCell ref="L56:P56"/>
    <mergeCell ref="L2:P2"/>
    <mergeCell ref="B2:F2"/>
    <mergeCell ref="B12:F12"/>
    <mergeCell ref="B48:F48"/>
    <mergeCell ref="L20:P20"/>
    <mergeCell ref="L38:P38"/>
    <mergeCell ref="B30:F30"/>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Business Questions</vt:lpstr>
      <vt:lpstr>Shoe Sales</vt:lpstr>
      <vt:lpstr>Shoe_Sales</vt:lpstr>
      <vt:lpstr>Price</vt:lpstr>
      <vt:lpstr>Pivot_Table</vt:lpstr>
      <vt:lpstr>Dashboard</vt:lpstr>
      <vt:lpstr>KPI_Margin</vt:lpstr>
      <vt:lpstr>KPI_Profit</vt:lpstr>
      <vt:lpstr>KPI_Quantity</vt:lpstr>
      <vt:lpstr>KPI_Revenue</vt:lpstr>
      <vt:lpstr>ShoeSalesCopy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Osunbanjo Damismart</dc:creator>
  <cp:lastModifiedBy>Osunbanjo Damismart</cp:lastModifiedBy>
  <dcterms:created xsi:type="dcterms:W3CDTF">2026-08-16T17:54:33Z</dcterms:created>
  <dcterms:modified xsi:type="dcterms:W3CDTF">2026-08-17T22:06:40Z</dcterms:modified>
</cp:coreProperties>
</file>